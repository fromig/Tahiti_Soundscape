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elix\Documents\Césure\Tahiti\Excel_DataBrut\"/>
    </mc:Choice>
  </mc:AlternateContent>
  <xr:revisionPtr revIDLastSave="0" documentId="13_ncr:1_{7303B0AE-E975-46FA-ADD8-5CFF6E0956D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euil1" sheetId="1" r:id="rId1"/>
    <sheet name="PO_1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5" i="1" l="1"/>
  <c r="M45" i="1" s="1"/>
  <c r="N46" i="1"/>
  <c r="N47" i="1"/>
  <c r="M47" i="1" s="1"/>
  <c r="N49" i="1"/>
  <c r="M49" i="1" s="1"/>
  <c r="N50" i="1"/>
  <c r="N42" i="1"/>
  <c r="M42" i="1" s="1"/>
  <c r="N39" i="1"/>
  <c r="M39" i="1" s="1"/>
  <c r="N38" i="1"/>
  <c r="M38" i="1" s="1"/>
  <c r="N37" i="1"/>
  <c r="M37" i="1" s="1"/>
  <c r="N36" i="1"/>
  <c r="M36" i="1" s="1"/>
  <c r="N35" i="1"/>
  <c r="M35" i="1" s="1"/>
  <c r="N34" i="1"/>
  <c r="M34" i="1" s="1"/>
  <c r="M30" i="1"/>
  <c r="M31" i="1"/>
  <c r="M32" i="1"/>
  <c r="M40" i="1"/>
  <c r="M46" i="1"/>
  <c r="M50" i="1"/>
  <c r="N29" i="1"/>
  <c r="M29" i="1" s="1"/>
  <c r="M26" i="1"/>
  <c r="M28" i="1"/>
  <c r="N25" i="1"/>
  <c r="M25" i="1" s="1"/>
  <c r="N24" i="1"/>
  <c r="M24" i="1" s="1"/>
  <c r="N18" i="1"/>
  <c r="M18" i="1" s="1"/>
  <c r="N11" i="1"/>
  <c r="M11" i="1" s="1"/>
  <c r="M15" i="1"/>
  <c r="M17" i="1"/>
  <c r="M19" i="1"/>
  <c r="M20" i="1"/>
  <c r="M21" i="1"/>
  <c r="M22" i="1"/>
  <c r="M23" i="1"/>
  <c r="M13" i="1"/>
  <c r="M14" i="1"/>
  <c r="M9" i="1"/>
  <c r="M10" i="1"/>
  <c r="N5" i="1"/>
  <c r="M5" i="1" s="1"/>
  <c r="N4" i="1"/>
  <c r="M4" i="1" s="1"/>
  <c r="N2" i="1"/>
  <c r="M2" i="1" s="1"/>
  <c r="M7" i="1"/>
  <c r="M8" i="1"/>
  <c r="N48" i="1"/>
  <c r="M48" i="1" s="1"/>
  <c r="N44" i="1"/>
  <c r="M44" i="1" s="1"/>
  <c r="N27" i="1"/>
  <c r="N6" i="1"/>
  <c r="M6" i="1"/>
  <c r="M12" i="1"/>
  <c r="M16" i="1"/>
  <c r="M27" i="1"/>
  <c r="M41" i="1"/>
  <c r="M33" i="1"/>
  <c r="M43" i="1"/>
  <c r="N3" i="1"/>
  <c r="M3" i="1" s="1"/>
</calcChain>
</file>

<file path=xl/sharedStrings.xml><?xml version="1.0" encoding="utf-8"?>
<sst xmlns="http://schemas.openxmlformats.org/spreadsheetml/2006/main" count="2988" uniqueCount="318">
  <si>
    <t>ILM_1</t>
  </si>
  <si>
    <t>-17.73177</t>
  </si>
  <si>
    <t>-149.57868</t>
  </si>
  <si>
    <t>Tahiti</t>
  </si>
  <si>
    <t>Société</t>
  </si>
  <si>
    <t>Île</t>
  </si>
  <si>
    <t>Archipel</t>
  </si>
  <si>
    <t>EAA</t>
  </si>
  <si>
    <t>Début</t>
  </si>
  <si>
    <t>Fin</t>
  </si>
  <si>
    <t>Latitude</t>
  </si>
  <si>
    <t>Longitude</t>
  </si>
  <si>
    <t>HSA(%)</t>
  </si>
  <si>
    <t>N/E</t>
  </si>
  <si>
    <t>Enr</t>
  </si>
  <si>
    <t>SMM02747</t>
  </si>
  <si>
    <t>Jardin_Eau_1</t>
  </si>
  <si>
    <t>SMM09285</t>
  </si>
  <si>
    <t>-17.76020</t>
  </si>
  <si>
    <t>-149.38919</t>
  </si>
  <si>
    <t>Marae_2</t>
  </si>
  <si>
    <t>SMM09307</t>
  </si>
  <si>
    <t>-17.69722</t>
  </si>
  <si>
    <t>-149.57881</t>
  </si>
  <si>
    <t>SMM9106</t>
  </si>
  <si>
    <t>-17.57137</t>
  </si>
  <si>
    <t>-149.52481</t>
  </si>
  <si>
    <t>OBelvedere_2</t>
  </si>
  <si>
    <t>Papeete_3</t>
  </si>
  <si>
    <t>SMM09233</t>
  </si>
  <si>
    <t>-17.53199</t>
  </si>
  <si>
    <t>-149.56194</t>
  </si>
  <si>
    <t>PI_Embouchure_3</t>
  </si>
  <si>
    <t>SMM02928</t>
  </si>
  <si>
    <t>-17.87360</t>
  </si>
  <si>
    <t>-149.18278</t>
  </si>
  <si>
    <t>PI_Belvedere_4</t>
  </si>
  <si>
    <t>SMM09080</t>
  </si>
  <si>
    <t>-17.77712</t>
  </si>
  <si>
    <t>-149.25440</t>
  </si>
  <si>
    <t>PI_Puunui_2</t>
  </si>
  <si>
    <t>-17.78095</t>
  </si>
  <si>
    <t>-149.27371</t>
  </si>
  <si>
    <t>Punavai_4</t>
  </si>
  <si>
    <t>SMM09009</t>
  </si>
  <si>
    <t>-17.62003</t>
  </si>
  <si>
    <t>-149.59700</t>
  </si>
  <si>
    <t>Punaauia_Tefautea</t>
  </si>
  <si>
    <t>SMM02755</t>
  </si>
  <si>
    <t>-17.60700</t>
  </si>
  <si>
    <t>Surface batie (m)</t>
  </si>
  <si>
    <t>Commune</t>
  </si>
  <si>
    <t>Fichier</t>
  </si>
  <si>
    <t>Ifremer_1</t>
  </si>
  <si>
    <t>-17.80597</t>
  </si>
  <si>
    <t>-149.29421</t>
  </si>
  <si>
    <t>Ifremer_1 SMM02747 - 2702_03032024 - Gaia -17.80597, -149.29421 - Carte SD 128 Go A15 extreme</t>
  </si>
  <si>
    <t>ILM_1 SMM09233  - 1204_170424 - Gaia -17.73177, -149.57868</t>
  </si>
  <si>
    <t>Jardin_Eau_1 SMM09285 - 2803_020424 - Gaia -17.76020, -149.38919 - Carte SD 32 Go noire (PB lecture carte)</t>
  </si>
  <si>
    <t>Marae_2 SMM09307  - 1004_130424 - Gaia -17.69722, -149.57881</t>
  </si>
  <si>
    <t>OBelvedere_2 SMM09106 - 2703_31032024 - Gaia -17.57137, -149.52481 - Carte SD 128 Go EI extreme pro (humide) (PB lecture carte)</t>
  </si>
  <si>
    <t>Papeete_3 SMM09233 - 0205_070524 - Gaia -17.53199, -149.56194</t>
  </si>
  <si>
    <t>PI_Embouchure_3 SMM02928 - 1502_20022024 - A0472 - Gaia -17.87360, -149.18278 - Carte SD 128 Go EI extreme pro</t>
  </si>
  <si>
    <t>PI_Belvedere_4 SMM09080 - 1902_24022024 - B0372 - GAIA -17.77712, -149.25440 - Carte SD 128 Go T5 extreme (mouillé)</t>
  </si>
  <si>
    <t>PI_Puunui_2 SMM02747 - 1902_24022024 - B0379 - GAIA -17.78095, -149.27371 - Carte SD A15 128Go</t>
  </si>
  <si>
    <t>Punaauia_Tefautea SMM02755 - 0205_080524 - Gaia -17.60700, -149.61230</t>
  </si>
  <si>
    <t>Punavai_4 SMM09009 - 1004_170424 - Gaia -17.62003, -149.59700</t>
  </si>
  <si>
    <t>ILM_2 SMM09080 - 1204_170424 - Gaia -17.73335, -149.57899</t>
  </si>
  <si>
    <t>ILM_2</t>
  </si>
  <si>
    <t>-17.73335</t>
  </si>
  <si>
    <t>-149.57899</t>
  </si>
  <si>
    <t>ILM_3 SMM09037 - 1204_170424 - Gaia -17.73234, -149.57782</t>
  </si>
  <si>
    <t>ILM_3</t>
  </si>
  <si>
    <t>-17.73234</t>
  </si>
  <si>
    <t>-149.57782</t>
  </si>
  <si>
    <t>Jardin_Eau_2 SMM02747 - 2803_02042024 - Gaia -17.75749, -149.39176 - Carte SD 32 Go J noire</t>
  </si>
  <si>
    <t>Jardin_Eau_2</t>
  </si>
  <si>
    <t>-17.75749</t>
  </si>
  <si>
    <t>-149.39176</t>
  </si>
  <si>
    <t>Jardin_Eau_3 SMM09009 - 2803_02042024 - Gaia -17.75383, -149.39297 - Carte SD 32 Go extreme</t>
  </si>
  <si>
    <t>Jardin_Eau_3</t>
  </si>
  <si>
    <t>-17.75383</t>
  </si>
  <si>
    <t>-149.39297</t>
  </si>
  <si>
    <t>Jardin_Eau_4 SMM09307 - 2803_02042024 - Gaia -17.74614, -149.39308 - Carte SD 64 Go E27 extreme</t>
  </si>
  <si>
    <t>Jardin_Eau_4</t>
  </si>
  <si>
    <t>-17.74614</t>
  </si>
  <si>
    <t>-149.39308</t>
  </si>
  <si>
    <t>Jardin_Eau_5 SMM09037 - 2803_02042024 - Gaia -17.74614, -149.39308 - Carte SD 32 Go  G samsung</t>
  </si>
  <si>
    <t>Jardin_Eau_5</t>
  </si>
  <si>
    <t>SMM09037</t>
  </si>
  <si>
    <t>Qualité,Commentaire</t>
  </si>
  <si>
    <t>Doublon donnée GPS avec Jardin_Eau_4</t>
  </si>
  <si>
    <t>Marae_1 SMM02755 - 1004_15042024 - Gaia -17.69697, -149.58110</t>
  </si>
  <si>
    <t>Marae_1</t>
  </si>
  <si>
    <t>-17.69697</t>
  </si>
  <si>
    <t>-149.58110</t>
  </si>
  <si>
    <t>Marae_3</t>
  </si>
  <si>
    <t>Marae_3 SMM09106 - 1004_160424 - Gaia -17.69643, -149.57515</t>
  </si>
  <si>
    <t>SMM09106</t>
  </si>
  <si>
    <t>-17.69643</t>
  </si>
  <si>
    <t>-149.57515</t>
  </si>
  <si>
    <t>Marae_4 SMM02747 - 1004_130424 - Gaia -17.69581, -149.57105</t>
  </si>
  <si>
    <t>Marae_4</t>
  </si>
  <si>
    <t>-17.69581</t>
  </si>
  <si>
    <t>-149.57105</t>
  </si>
  <si>
    <t>OBelvedere_1 SMM02928 - 2703_01042024 - Gaia -17.57431, -149.52287 - Carte SD 128 Go A15 extreme (mouillé)</t>
  </si>
  <si>
    <t>OBelvedere_1</t>
  </si>
  <si>
    <t>-17.57431</t>
  </si>
  <si>
    <t>-149.52287</t>
  </si>
  <si>
    <t>OBelvedere_3 SMM09228 - 2703_02042024 - Gaia -17.56843, -149.52697 - Carte SD 128 Go 44 extreme pro</t>
  </si>
  <si>
    <t>OBelvedere_3</t>
  </si>
  <si>
    <t xml:space="preserve">SMM09228 </t>
  </si>
  <si>
    <t>-17.56843</t>
  </si>
  <si>
    <t>-149.52697</t>
  </si>
  <si>
    <t>OBelvedere_4 SMM09234 - 2703_010424 - Gaia -17.56543, -149.52914 - Carte SD 128 Go 30 extreme pro (leger humide) (PB lecture carte)</t>
  </si>
  <si>
    <t>OBelvedere_4</t>
  </si>
  <si>
    <t>SMM09234</t>
  </si>
  <si>
    <t>-17.56543</t>
  </si>
  <si>
    <t>-149.52914</t>
  </si>
  <si>
    <t>OBelvedere_5 SMM09021 - 2703_01042024 - Gaia -17.56375, -149.53238 - Carte SD 128 Go T5 extreme</t>
  </si>
  <si>
    <t>OBelvedere_5</t>
  </si>
  <si>
    <t>SMM09021</t>
  </si>
  <si>
    <t>-17.56375</t>
  </si>
  <si>
    <t>-149.53238</t>
  </si>
  <si>
    <t>OBelvedere_6 SMM09080 - 2703_300324 - Gaia -17.55964, -149.53662 - Carte SD 64 Go E4 extreme</t>
  </si>
  <si>
    <t>OBelvedere_6</t>
  </si>
  <si>
    <t>-17.55964</t>
  </si>
  <si>
    <t>-149.53662</t>
  </si>
  <si>
    <t>OBelvedere_6.5 SMM09021 - 0205_060524 - Gaia -17.55615, -149.53839</t>
  </si>
  <si>
    <t>OBelvedere_6.5</t>
  </si>
  <si>
    <t>-17.55615</t>
  </si>
  <si>
    <t>-149.53839</t>
  </si>
  <si>
    <t>OBelvedere_7 SMM09337 - 2703_010424 - Gaia -17.55266, -149.53922 - Carte SD 64 Go A20 extreme</t>
  </si>
  <si>
    <t>OBelvedere_7</t>
  </si>
  <si>
    <t>SMM09337</t>
  </si>
  <si>
    <t>-17.55266</t>
  </si>
  <si>
    <t>-149.53822</t>
  </si>
  <si>
    <t>OBelvedere_7.5 SMM02553 -  0205_080524 - Gaia -17.54944, -149.54273 </t>
  </si>
  <si>
    <t>SMM02553</t>
  </si>
  <si>
    <t>OBelvedere_7.5</t>
  </si>
  <si>
    <t>-17.54944</t>
  </si>
  <si>
    <t>-149.54273</t>
  </si>
  <si>
    <t>Obelvedere_8 SMM02752 - 2703_02042024 - Gaia -17.54568, -149.54451 - Carte SD 32 Go 40 extreme</t>
  </si>
  <si>
    <t>OBelvedere_8</t>
  </si>
  <si>
    <t>SMM02752</t>
  </si>
  <si>
    <t>-17.54568</t>
  </si>
  <si>
    <t>-149.54451</t>
  </si>
  <si>
    <t>OBelvedere_9 SMM02553 - 2703_01042024 - Gaia -17.53843, -149.54800 - Carte SD 64 Go extreme pro</t>
  </si>
  <si>
    <t>OBelvedere_9</t>
  </si>
  <si>
    <t>-17.53843</t>
  </si>
  <si>
    <t>-149.54800</t>
  </si>
  <si>
    <t>Papeete_2 SMM09228 - 0205_070524 - Gaia -17.53502, -149.55922</t>
  </si>
  <si>
    <t>Papeete_2</t>
  </si>
  <si>
    <t>-17.53502</t>
  </si>
  <si>
    <t>-149.55922</t>
  </si>
  <si>
    <t>Papeete_4 SMM09037 - 0205_070524 - Gaia -17.53325, -149.56791</t>
  </si>
  <si>
    <t>Papeete_4</t>
  </si>
  <si>
    <t>-17.53325</t>
  </si>
  <si>
    <t>-149.56791</t>
  </si>
  <si>
    <t>Papeete_5 SMM09009 - 0205_050524 - Gaia -17.52491, -149.55676</t>
  </si>
  <si>
    <t>Papeete_5</t>
  </si>
  <si>
    <t>-17.52491</t>
  </si>
  <si>
    <t>-149.55676</t>
  </si>
  <si>
    <t>1/3 du cercle Flouté par la base navale</t>
  </si>
  <si>
    <t>PI_Belvedere_1 SMM02752 - 1902_24022024 - B0369 - Gaia -17.78532, -149.24700 - Carte SD 64 Go disk3s1 A6 extreme pro</t>
  </si>
  <si>
    <t>PI_Belvedere_1</t>
  </si>
  <si>
    <t>PI_Belvedere_2</t>
  </si>
  <si>
    <t>PI_Belvedere_3</t>
  </si>
  <si>
    <t>PI_Belvedere_5</t>
  </si>
  <si>
    <t>PI_Belvedere_6</t>
  </si>
  <si>
    <t>-17.78532</t>
  </si>
  <si>
    <t>-149.24700</t>
  </si>
  <si>
    <t>PI_Belvedere_2 SMM02553 - 1902_24022024 - B0368 - Gaia -17.78252, -149.24942 - Carte SD 32 Go 40 extreme</t>
  </si>
  <si>
    <t>PI_Belvedere_7</t>
  </si>
  <si>
    <t>-17.78252</t>
  </si>
  <si>
    <t>-149.24942</t>
  </si>
  <si>
    <t>PI_Belvedere_3 SMM02755 - 1902_24022024 - B0371 - Gaia -17.78001, -149.25222 - Carte SD 64 Go A20 extreme (un peu eau)</t>
  </si>
  <si>
    <t>-17.78001</t>
  </si>
  <si>
    <t>-149.25222</t>
  </si>
  <si>
    <t>PI_Belvedere_5 SMM09233 - 1902_24022024 - B0373 - Gaia -17.77749, -149.25852 - Carte SD 64 Go E4 extreme</t>
  </si>
  <si>
    <t>-17.77749</t>
  </si>
  <si>
    <t>-149.25852</t>
  </si>
  <si>
    <t>PI_Belvedere_6 SMM09337 -  1902_24022024 - B0374 - Gaia -17.77471, -149.26167 - Carte SD 64 Go E27 extreme</t>
  </si>
  <si>
    <t>-17.77471</t>
  </si>
  <si>
    <t>-149.26167</t>
  </si>
  <si>
    <t>PI_Belvedere_7 SMM09009 - 1902_24022024 - B0375 - Gaia -17.77101, -149.26569 - Carte SD 32 Go 38 extreme</t>
  </si>
  <si>
    <t>-17.77101</t>
  </si>
  <si>
    <t>-149.26569</t>
  </si>
  <si>
    <t>PI_Belvedere_8</t>
  </si>
  <si>
    <t>PI_Belvedere_9</t>
  </si>
  <si>
    <t>-17.76659</t>
  </si>
  <si>
    <t>-149.26981</t>
  </si>
  <si>
    <t>PI_Belvedere_8 SMM09021 - 1902_25022024 - B0376 - Gaia -17.76659, -149.26981 - Carte SD 32 Go 42 extreme</t>
  </si>
  <si>
    <t>PI_Belvedere_9 SMM09307 - 1902_25022024 - B0377 - Gaia -17.76375, -149.27422 - Carte SD 32 Go J noire</t>
  </si>
  <si>
    <t>-17.76375</t>
  </si>
  <si>
    <t>-149.27422</t>
  </si>
  <si>
    <t>PI_Embouchure_1 SMM09228 - 1502_20022024 - A0469 - Gaia -17.87781, -149.18525 - Carte SD 128 Go 30 extreme pro (mouille)</t>
  </si>
  <si>
    <t>PI_Embouchure_1</t>
  </si>
  <si>
    <t>-17.87781</t>
  </si>
  <si>
    <t>-149.18525</t>
  </si>
  <si>
    <t>PI_Embouchure_2 SMM09106 - 1502_20022024 - A0470 - Gaia -17.87648, -149.18449 - Carte SD 128 Go 44 extreme pro (peu mouille)</t>
  </si>
  <si>
    <t>PI_Embouchure_2</t>
  </si>
  <si>
    <t>-17.87648</t>
  </si>
  <si>
    <t>-149.18449</t>
  </si>
  <si>
    <t>PI_Puunui_1 SMM02940 - 1902_25022024 - B0378 - GAIA -17.77881, -149.27769 - Carte SD 32Go</t>
  </si>
  <si>
    <t>PI_Puunui_1</t>
  </si>
  <si>
    <t>SMM02940</t>
  </si>
  <si>
    <t>-17.77881</t>
  </si>
  <si>
    <t>-149.27769</t>
  </si>
  <si>
    <t>Punavai_1 SMM09337 - 1004_150424 - Gaia -17.62345, -149.61086</t>
  </si>
  <si>
    <t>Punavai_2 SMM02752 - 1004_110424 - Gaia -17.62143, -149.60544</t>
  </si>
  <si>
    <t>Punavai_3 SMM09234 - 1004_140424 - Gaia -17.62025, -149.60088 (mouille++)</t>
  </si>
  <si>
    <t>Punavai_5 SMM02940 - 1004_160424 - Gaia -17.61808, -149.59391 (mouille)</t>
  </si>
  <si>
    <t>Punavai_6 SMM09021 - 1004_160424 - Gaia -17.61771, -149.58950</t>
  </si>
  <si>
    <t>Punavai_1</t>
  </si>
  <si>
    <t>Punavai_2</t>
  </si>
  <si>
    <t>Punavai_3</t>
  </si>
  <si>
    <t>Punavai_5</t>
  </si>
  <si>
    <t>Punavai_6</t>
  </si>
  <si>
    <t>-17.62345</t>
  </si>
  <si>
    <t>-17.62025</t>
  </si>
  <si>
    <t>-17.61808</t>
  </si>
  <si>
    <t>-17.61771</t>
  </si>
  <si>
    <t>-149.61086</t>
  </si>
  <si>
    <t>-149.58950</t>
  </si>
  <si>
    <t>-17.62143</t>
  </si>
  <si>
    <t>-149.60544</t>
  </si>
  <si>
    <t>-149.60088</t>
  </si>
  <si>
    <t>-149.59391</t>
  </si>
  <si>
    <t>Pueu</t>
  </si>
  <si>
    <t>Vairao</t>
  </si>
  <si>
    <t>Teahupoo</t>
  </si>
  <si>
    <t>Mataiea</t>
  </si>
  <si>
    <t>Paea</t>
  </si>
  <si>
    <t>Punaauia</t>
  </si>
  <si>
    <t>Pirae</t>
  </si>
  <si>
    <t>Papeete</t>
  </si>
  <si>
    <t>Météo</t>
  </si>
  <si>
    <t>NAME_SPECIES</t>
  </si>
  <si>
    <t>LATIN_SPECIES</t>
  </si>
  <si>
    <t>DATE</t>
  </si>
  <si>
    <t>TIME_START</t>
  </si>
  <si>
    <t>TIME_STOP</t>
  </si>
  <si>
    <t>DAILY_TEXT_COMMENT_REM</t>
  </si>
  <si>
    <t>COORD_LAT</t>
  </si>
  <si>
    <t>COORD_LON</t>
  </si>
  <si>
    <t>Nom espèce</t>
  </si>
  <si>
    <t>Nom scientifique</t>
  </si>
  <si>
    <t>Date</t>
  </si>
  <si>
    <t>Heure début</t>
  </si>
  <si>
    <t>Heure fin</t>
  </si>
  <si>
    <t>Commentaire de la liste</t>
  </si>
  <si>
    <t>Lat (WGS84)</t>
  </si>
  <si>
    <t>Lon (WGS84)</t>
  </si>
  <si>
    <t>ENR</t>
  </si>
  <si>
    <t>STATUS</t>
  </si>
  <si>
    <t>Status</t>
  </si>
  <si>
    <t>Geopelia striata</t>
  </si>
  <si>
    <t>Introduit</t>
  </si>
  <si>
    <t>Coq Banvika</t>
  </si>
  <si>
    <t>Geopélie zébrée</t>
  </si>
  <si>
    <t>Martin triste</t>
  </si>
  <si>
    <t>Bulbul à ventre rouge</t>
  </si>
  <si>
    <t>Pigeon biset</t>
  </si>
  <si>
    <t>Pycnonotus cafer</t>
  </si>
  <si>
    <t>Acridotheres tristis</t>
  </si>
  <si>
    <t>Gallus gallus</t>
  </si>
  <si>
    <t>Neochmia temporalis</t>
  </si>
  <si>
    <t>Columba livia</t>
  </si>
  <si>
    <t>Diamant à cinq couleur</t>
  </si>
  <si>
    <t>Enregistreur</t>
  </si>
  <si>
    <t>Capucin donacole</t>
  </si>
  <si>
    <t>Lonchura castaneothorax</t>
  </si>
  <si>
    <t>Noddy brun</t>
  </si>
  <si>
    <t>Natif</t>
  </si>
  <si>
    <t>Anous stolidus</t>
  </si>
  <si>
    <t>Astrild ondulé</t>
  </si>
  <si>
    <t>Estrilda astrild</t>
  </si>
  <si>
    <t>No rain</t>
  </si>
  <si>
    <t>Criquet en bande passante lors des points écoute</t>
  </si>
  <si>
    <t>Ptilinopus purpuratus</t>
  </si>
  <si>
    <t>Ptilope de la Société</t>
  </si>
  <si>
    <t>Nice song 2 times</t>
  </si>
  <si>
    <t>Todiramphus veneratus</t>
  </si>
  <si>
    <t>Martin-Chasseur vénéré</t>
  </si>
  <si>
    <t>Zosterops lateralis</t>
  </si>
  <si>
    <t>Zosterops à dos gris</t>
  </si>
  <si>
    <t>Continuous througout the audio</t>
  </si>
  <si>
    <t>Traffic</t>
  </si>
  <si>
    <t>Pluie</t>
  </si>
  <si>
    <t>Vent</t>
  </si>
  <si>
    <t>Activité</t>
  </si>
  <si>
    <t>Really calm (nothing) for a 6am</t>
  </si>
  <si>
    <t>Strong backgroundnoise</t>
  </si>
  <si>
    <t>1 ou 5?</t>
  </si>
  <si>
    <t>54:30, bird on the mic until 56</t>
  </si>
  <si>
    <t>Begging of bulbul</t>
  </si>
  <si>
    <t>Bruit micro</t>
  </si>
  <si>
    <t>Traffic due to dog</t>
  </si>
  <si>
    <t>Geule fort dans le mic</t>
  </si>
  <si>
    <t>Lot of Zosterops</t>
  </si>
  <si>
    <t>Wave sound</t>
  </si>
  <si>
    <t>1-5?</t>
  </si>
  <si>
    <t>Nothing due to rain?</t>
  </si>
  <si>
    <t>Dog barking</t>
  </si>
  <si>
    <t>Tangara à dos rouge</t>
  </si>
  <si>
    <t>Ramphocelus dimidiatus</t>
  </si>
  <si>
    <t>TRAFFIC</t>
  </si>
  <si>
    <t>RAIN</t>
  </si>
  <si>
    <t>WIND</t>
  </si>
  <si>
    <t>ACTIVITY</t>
  </si>
  <si>
    <t>EXTEND_NOISE</t>
  </si>
  <si>
    <t>MIC_NOISE</t>
  </si>
  <si>
    <t>Bruit continue</t>
  </si>
  <si>
    <t>35.15 bruit chelou</t>
  </si>
  <si>
    <t>Still strong background noise</t>
  </si>
  <si>
    <t>Coucou de Nouvelle-Zélande</t>
  </si>
  <si>
    <t>Urodynamis taitensis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</si>
</sst>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</font>
    <font>
      <sz val="10"/>
      <color rgb="FF7EB680"/>
      <name val="ADLaM Display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21">
    <xf numFmtId="0" fontId="0" fillId="0" borderId="0" xfId="0"/>
    <xf numFmtId="14" fontId="0" fillId="0" borderId="0" xfId="0" applyNumberFormat="1"/>
    <xf numFmtId="0" fontId="0" fillId="0" borderId="0" xfId="0" quotePrefix="1"/>
    <xf numFmtId="9" fontId="0" fillId="0" borderId="0" xfId="1" applyFont="1"/>
    <xf numFmtId="0" fontId="0" fillId="2" borderId="0" xfId="0" applyFill="1"/>
    <xf numFmtId="0" fontId="0" fillId="2" borderId="0" xfId="0" quotePrefix="1" applyFill="1"/>
    <xf numFmtId="0" fontId="4" fillId="0" borderId="0" xfId="0" applyFont="1" applyAlignment="1">
      <alignment vertical="center" wrapText="1"/>
    </xf>
    <xf numFmtId="0" fontId="5" fillId="0" borderId="0" xfId="2" applyFont="1"/>
    <xf numFmtId="14" fontId="5" fillId="0" borderId="0" xfId="2" applyNumberFormat="1" applyFont="1"/>
    <xf numFmtId="20" fontId="5" fillId="0" borderId="0" xfId="2" applyNumberFormat="1" applyFont="1"/>
    <xf numFmtId="0" fontId="5" fillId="0" borderId="0" xfId="0" applyFont="1"/>
    <xf numFmtId="0" fontId="5" fillId="0" borderId="0" xfId="0" quotePrefix="1" applyFont="1"/>
    <xf numFmtId="14" fontId="5" fillId="0" borderId="0" xfId="0" applyNumberFormat="1" applyFont="1"/>
    <xf numFmtId="0" fontId="6" fillId="0" borderId="0" xfId="0" applyFont="1"/>
    <xf numFmtId="0" fontId="5" fillId="2" borderId="0" xfId="0" applyFont="1" applyFill="1"/>
    <xf numFmtId="0" fontId="5" fillId="2" borderId="0" xfId="0" quotePrefix="1" applyFont="1" applyFill="1"/>
    <xf numFmtId="0" fontId="5" fillId="0" borderId="0" xfId="0" applyFont="1" applyAlignment="1">
      <alignment vertical="center" wrapText="1"/>
    </xf>
    <xf numFmtId="20" fontId="0" fillId="0" borderId="0" xfId="0" applyNumberFormat="1"/>
    <xf numFmtId="0" fontId="7" fillId="0" borderId="0" xfId="0" applyFont="1" applyAlignment="1">
      <alignment vertical="center" wrapText="1"/>
    </xf>
    <xf numFmtId="0" fontId="8" fillId="0" borderId="0" xfId="0" applyFont="1"/>
    <xf numFmtId="0" fontId="9" fillId="0" borderId="0" xfId="0" applyFont="1" applyAlignment="1">
      <alignment vertical="center" wrapText="1"/>
    </xf>
  </cellXfs>
  <cellStyles count="3">
    <cellStyle name="Normal" xfId="0" builtinId="0"/>
    <cellStyle name="Normal 2" xfId="2" xr:uid="{05443806-809F-467A-AECD-792AFA9C9330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0C6B5-67E9-4337-B659-080E1D6CAC6D}" name="Tableau1" displayName="Tableau1" ref="A1:O1048576" totalsRowShown="0">
  <autoFilter ref="A1:O1048576" xr:uid="{AD00C6B5-67E9-4337-B659-080E1D6CAC6D}"/>
  <sortState xmlns:xlrd2="http://schemas.microsoft.com/office/spreadsheetml/2017/richdata2" ref="A2:O1048576">
    <sortCondition ref="A1:A1048576"/>
  </sortState>
  <tableColumns count="15">
    <tableColumn id="1" xr3:uid="{8EFBA4D5-5D56-42FA-A681-468FCF2B9B2B}" name="Fichier"/>
    <tableColumn id="2" xr3:uid="{8C8A7BB7-F307-4473-A4E7-C70D6E68F3A1}" name="Enr"/>
    <tableColumn id="3" xr3:uid="{14D3C3C8-D0CE-41E1-9D4D-87286C1B27A0}" name="EAA"/>
    <tableColumn id="4" xr3:uid="{DC868BC8-3FA0-426C-8640-6CBE7187B76D}" name="Début"/>
    <tableColumn id="5" xr3:uid="{DE66725E-2C47-4C11-95B4-D42D9DA37D80}" name="Fin"/>
    <tableColumn id="6" xr3:uid="{0C75835D-B25E-424D-8D52-CDDAA12B3244}" name="Latitude"/>
    <tableColumn id="7" xr3:uid="{32761622-8D4D-45A3-9F66-2818A656A286}" name="Longitude"/>
    <tableColumn id="8" xr3:uid="{E97A35CA-8830-423C-B2A6-7915E98A8CDB}" name="Commune"/>
    <tableColumn id="9" xr3:uid="{529C03AB-7823-4E7E-AAAC-D9A38D82B72E}" name="Île"/>
    <tableColumn id="10" xr3:uid="{8322CEB6-A97B-4009-AE32-AA8F9D46C5FB}" name="Archipel"/>
    <tableColumn id="11" xr3:uid="{D11B611B-C780-45C9-9ECC-7177B7CFF3B1}" name="Météo"/>
    <tableColumn id="12" xr3:uid="{EA5D4A6E-1388-489E-92C1-D48681E0D9FC}" name="Qualité,Commentaire"/>
    <tableColumn id="13" xr3:uid="{ED2FA7B0-A7CA-4FA8-8432-698EB6EF5AE7}" name="HSA(%)"/>
    <tableColumn id="14" xr3:uid="{918A068B-AE49-43C0-8850-33296B0E6F32}" name="Surface batie (m)"/>
    <tableColumn id="15" xr3:uid="{F74FF461-E300-431C-9405-61363AF64C30}" name="N/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zoomScale="79" workbookViewId="0">
      <selection activeCell="G19" activeCellId="2" sqref="B19 F19 G19"/>
    </sheetView>
  </sheetViews>
  <sheetFormatPr baseColWidth="10" defaultColWidth="8.88671875" defaultRowHeight="14.4" x14ac:dyDescent="0.3"/>
  <cols>
    <col min="4" max="5" width="10.5546875" bestFit="1" customWidth="1"/>
    <col min="6" max="6" width="9.6640625" customWidth="1"/>
    <col min="7" max="7" width="11" customWidth="1"/>
    <col min="8" max="8" width="11.109375" customWidth="1"/>
    <col min="10" max="10" width="9.5546875" customWidth="1"/>
    <col min="12" max="12" width="20.33203125" customWidth="1"/>
    <col min="14" max="14" width="16.6640625" customWidth="1"/>
  </cols>
  <sheetData>
    <row r="1" spans="1:15" x14ac:dyDescent="0.3">
      <c r="A1" t="s">
        <v>52</v>
      </c>
      <c r="B1" t="s">
        <v>14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51</v>
      </c>
      <c r="I1" t="s">
        <v>5</v>
      </c>
      <c r="J1" t="s">
        <v>6</v>
      </c>
      <c r="K1" t="s">
        <v>237</v>
      </c>
      <c r="L1" t="s">
        <v>90</v>
      </c>
      <c r="M1" t="s">
        <v>12</v>
      </c>
      <c r="N1" t="s">
        <v>50</v>
      </c>
      <c r="O1" t="s">
        <v>13</v>
      </c>
    </row>
    <row r="2" spans="1:15" x14ac:dyDescent="0.3">
      <c r="A2" t="s">
        <v>56</v>
      </c>
      <c r="B2" t="s">
        <v>53</v>
      </c>
      <c r="C2" t="s">
        <v>15</v>
      </c>
      <c r="D2" s="1">
        <v>45349</v>
      </c>
      <c r="E2" s="1">
        <v>45354</v>
      </c>
      <c r="F2" s="2" t="s">
        <v>54</v>
      </c>
      <c r="G2" s="2" t="s">
        <v>55</v>
      </c>
      <c r="H2" t="s">
        <v>230</v>
      </c>
      <c r="I2" t="s">
        <v>3</v>
      </c>
      <c r="J2" t="s">
        <v>4</v>
      </c>
      <c r="M2" s="3">
        <f t="shared" ref="M2:M33" si="0">(N2/31416)</f>
        <v>0.39477654698242931</v>
      </c>
      <c r="N2">
        <f>11098+63.3+63.4+230+912+23+12.6</f>
        <v>12402.3</v>
      </c>
    </row>
    <row r="3" spans="1:15" x14ac:dyDescent="0.3">
      <c r="A3" s="2" t="s">
        <v>57</v>
      </c>
      <c r="B3" t="s">
        <v>0</v>
      </c>
      <c r="C3" t="s">
        <v>15</v>
      </c>
      <c r="D3" s="1">
        <v>45394</v>
      </c>
      <c r="E3" s="1">
        <v>45399</v>
      </c>
      <c r="F3" s="2" t="s">
        <v>1</v>
      </c>
      <c r="G3" s="2" t="s">
        <v>2</v>
      </c>
      <c r="H3" s="2" t="s">
        <v>233</v>
      </c>
      <c r="I3" t="s">
        <v>3</v>
      </c>
      <c r="J3" t="s">
        <v>4</v>
      </c>
      <c r="M3" s="3">
        <f t="shared" si="0"/>
        <v>0.31381143366437486</v>
      </c>
      <c r="N3">
        <f>2747+210+124+305+124+55.5+183+137+190+755+670+226+31.7+141+158+21.4+173+131+56.3+337+300+165+218+13.8+213+1663+179+127+204</f>
        <v>9858.7000000000007</v>
      </c>
    </row>
    <row r="4" spans="1:15" x14ac:dyDescent="0.3">
      <c r="A4" t="s">
        <v>67</v>
      </c>
      <c r="B4" t="s">
        <v>68</v>
      </c>
      <c r="C4" t="s">
        <v>37</v>
      </c>
      <c r="D4" s="1">
        <v>45394</v>
      </c>
      <c r="E4" s="1">
        <v>45399</v>
      </c>
      <c r="F4" s="2" t="s">
        <v>69</v>
      </c>
      <c r="G4" s="2" t="s">
        <v>70</v>
      </c>
      <c r="H4" s="2" t="s">
        <v>233</v>
      </c>
      <c r="I4" t="s">
        <v>3</v>
      </c>
      <c r="J4" t="s">
        <v>4</v>
      </c>
      <c r="M4" s="3">
        <f t="shared" si="0"/>
        <v>0.10314171122994652</v>
      </c>
      <c r="N4">
        <f>143+42+60.6+968+122+1672+62.7+170</f>
        <v>3240.2999999999997</v>
      </c>
    </row>
    <row r="5" spans="1:15" x14ac:dyDescent="0.3">
      <c r="A5" t="s">
        <v>71</v>
      </c>
      <c r="B5" t="s">
        <v>72</v>
      </c>
      <c r="C5" t="s">
        <v>17</v>
      </c>
      <c r="D5" s="1">
        <v>45394</v>
      </c>
      <c r="E5" s="1">
        <v>45399</v>
      </c>
      <c r="F5" s="2" t="s">
        <v>73</v>
      </c>
      <c r="G5" s="2" t="s">
        <v>74</v>
      </c>
      <c r="H5" s="2" t="s">
        <v>233</v>
      </c>
      <c r="I5" t="s">
        <v>3</v>
      </c>
      <c r="J5" t="s">
        <v>4</v>
      </c>
      <c r="L5" t="s">
        <v>279</v>
      </c>
      <c r="M5" s="3">
        <f t="shared" si="0"/>
        <v>0.14001114081996435</v>
      </c>
      <c r="N5">
        <f>300+45+12.4+2787+37+672+42.3+21.4+64.8+60.7+347+8.99</f>
        <v>4398.59</v>
      </c>
    </row>
    <row r="6" spans="1:15" x14ac:dyDescent="0.3">
      <c r="A6" t="s">
        <v>58</v>
      </c>
      <c r="B6" t="s">
        <v>16</v>
      </c>
      <c r="C6" t="s">
        <v>17</v>
      </c>
      <c r="D6" s="1">
        <v>45379</v>
      </c>
      <c r="E6" s="1">
        <v>45384</v>
      </c>
      <c r="F6" s="2" t="s">
        <v>18</v>
      </c>
      <c r="G6" s="2" t="s">
        <v>19</v>
      </c>
      <c r="H6" t="s">
        <v>232</v>
      </c>
      <c r="I6" t="s">
        <v>3</v>
      </c>
      <c r="J6" t="s">
        <v>4</v>
      </c>
      <c r="M6" s="3">
        <f t="shared" si="0"/>
        <v>7.300738477209065E-2</v>
      </c>
      <c r="N6">
        <f>2165+102+26.6</f>
        <v>2293.6</v>
      </c>
    </row>
    <row r="7" spans="1:15" x14ac:dyDescent="0.3">
      <c r="A7" t="s">
        <v>75</v>
      </c>
      <c r="B7" t="s">
        <v>76</v>
      </c>
      <c r="C7" t="s">
        <v>15</v>
      </c>
      <c r="D7" s="1">
        <v>45379</v>
      </c>
      <c r="E7" s="1">
        <v>45384</v>
      </c>
      <c r="F7" s="2" t="s">
        <v>77</v>
      </c>
      <c r="G7" s="2" t="s">
        <v>78</v>
      </c>
      <c r="H7" t="s">
        <v>232</v>
      </c>
      <c r="I7" t="s">
        <v>3</v>
      </c>
      <c r="J7" t="s">
        <v>4</v>
      </c>
      <c r="M7" s="3">
        <f t="shared" si="0"/>
        <v>0</v>
      </c>
      <c r="N7">
        <v>0</v>
      </c>
    </row>
    <row r="8" spans="1:15" x14ac:dyDescent="0.3">
      <c r="A8" t="s">
        <v>79</v>
      </c>
      <c r="B8" t="s">
        <v>80</v>
      </c>
      <c r="C8" t="s">
        <v>44</v>
      </c>
      <c r="D8" s="1">
        <v>45379</v>
      </c>
      <c r="E8" s="1">
        <v>45384</v>
      </c>
      <c r="F8" s="2" t="s">
        <v>81</v>
      </c>
      <c r="G8" s="2" t="s">
        <v>82</v>
      </c>
      <c r="H8" t="s">
        <v>232</v>
      </c>
      <c r="I8" t="s">
        <v>3</v>
      </c>
      <c r="J8" t="s">
        <v>4</v>
      </c>
      <c r="M8" s="3">
        <f t="shared" si="0"/>
        <v>0</v>
      </c>
      <c r="N8">
        <v>0</v>
      </c>
    </row>
    <row r="9" spans="1:15" x14ac:dyDescent="0.3">
      <c r="A9" t="s">
        <v>83</v>
      </c>
      <c r="B9" t="s">
        <v>84</v>
      </c>
      <c r="C9" t="s">
        <v>21</v>
      </c>
      <c r="D9" s="1">
        <v>45379</v>
      </c>
      <c r="E9" s="1">
        <v>45384</v>
      </c>
      <c r="F9" s="2" t="s">
        <v>85</v>
      </c>
      <c r="G9" s="2" t="s">
        <v>86</v>
      </c>
      <c r="H9" t="s">
        <v>232</v>
      </c>
      <c r="I9" t="s">
        <v>3</v>
      </c>
      <c r="J9" t="s">
        <v>4</v>
      </c>
      <c r="M9" s="3">
        <f t="shared" si="0"/>
        <v>0</v>
      </c>
      <c r="N9">
        <v>0</v>
      </c>
    </row>
    <row r="10" spans="1:15" x14ac:dyDescent="0.3">
      <c r="A10" t="s">
        <v>87</v>
      </c>
      <c r="B10" t="s">
        <v>88</v>
      </c>
      <c r="C10" t="s">
        <v>89</v>
      </c>
      <c r="D10" s="1">
        <v>45379</v>
      </c>
      <c r="E10" s="1">
        <v>45384</v>
      </c>
      <c r="F10" s="2" t="s">
        <v>85</v>
      </c>
      <c r="G10" s="2" t="s">
        <v>86</v>
      </c>
      <c r="H10" t="s">
        <v>232</v>
      </c>
      <c r="I10" t="s">
        <v>3</v>
      </c>
      <c r="J10" t="s">
        <v>4</v>
      </c>
      <c r="L10" t="s">
        <v>91</v>
      </c>
      <c r="M10" s="3">
        <f t="shared" si="0"/>
        <v>0</v>
      </c>
      <c r="N10">
        <v>0</v>
      </c>
    </row>
    <row r="11" spans="1:15" x14ac:dyDescent="0.3">
      <c r="A11" t="s">
        <v>92</v>
      </c>
      <c r="B11" t="s">
        <v>93</v>
      </c>
      <c r="C11" t="s">
        <v>48</v>
      </c>
      <c r="D11" s="1">
        <v>45392</v>
      </c>
      <c r="E11" s="1">
        <v>45397</v>
      </c>
      <c r="F11" s="2" t="s">
        <v>94</v>
      </c>
      <c r="G11" s="2" t="s">
        <v>95</v>
      </c>
      <c r="H11" t="s">
        <v>233</v>
      </c>
      <c r="I11" t="s">
        <v>3</v>
      </c>
      <c r="J11" t="s">
        <v>4</v>
      </c>
      <c r="M11" s="3">
        <f t="shared" si="0"/>
        <v>0.30680863254392671</v>
      </c>
      <c r="N11">
        <f>840+116+388+24+121+296+309+226+93.7+808+139+381+198+206+178+5+45.3+157+171+529+333+475+1330+1284+687+106+168+24.7</f>
        <v>9638.7000000000007</v>
      </c>
    </row>
    <row r="12" spans="1:15" x14ac:dyDescent="0.3">
      <c r="A12" t="s">
        <v>59</v>
      </c>
      <c r="B12" t="s">
        <v>20</v>
      </c>
      <c r="C12" t="s">
        <v>21</v>
      </c>
      <c r="D12" s="1">
        <v>45392</v>
      </c>
      <c r="E12" s="1">
        <v>45395</v>
      </c>
      <c r="F12" s="2" t="s">
        <v>22</v>
      </c>
      <c r="G12" s="2" t="s">
        <v>23</v>
      </c>
      <c r="H12" s="2" t="s">
        <v>233</v>
      </c>
      <c r="I12" t="s">
        <v>3</v>
      </c>
      <c r="J12" t="s">
        <v>4</v>
      </c>
      <c r="M12" s="3">
        <f t="shared" si="0"/>
        <v>1.1204481792717087E-2</v>
      </c>
      <c r="N12">
        <v>352</v>
      </c>
    </row>
    <row r="13" spans="1:15" x14ac:dyDescent="0.3">
      <c r="A13" t="s">
        <v>97</v>
      </c>
      <c r="B13" t="s">
        <v>96</v>
      </c>
      <c r="C13" t="s">
        <v>98</v>
      </c>
      <c r="D13" s="1">
        <v>45392</v>
      </c>
      <c r="E13" s="1">
        <v>45398</v>
      </c>
      <c r="F13" s="2" t="s">
        <v>99</v>
      </c>
      <c r="G13" s="2" t="s">
        <v>100</v>
      </c>
      <c r="H13" t="s">
        <v>233</v>
      </c>
      <c r="I13" t="s">
        <v>3</v>
      </c>
      <c r="J13" t="s">
        <v>4</v>
      </c>
      <c r="M13" s="3">
        <f t="shared" si="0"/>
        <v>0</v>
      </c>
      <c r="N13">
        <v>0</v>
      </c>
    </row>
    <row r="14" spans="1:15" x14ac:dyDescent="0.3">
      <c r="A14" t="s">
        <v>101</v>
      </c>
      <c r="B14" t="s">
        <v>102</v>
      </c>
      <c r="C14" t="s">
        <v>15</v>
      </c>
      <c r="D14" s="1">
        <v>45392</v>
      </c>
      <c r="E14" s="1">
        <v>45395</v>
      </c>
      <c r="F14" s="2" t="s">
        <v>103</v>
      </c>
      <c r="G14" s="2" t="s">
        <v>104</v>
      </c>
      <c r="H14" t="s">
        <v>233</v>
      </c>
      <c r="I14" t="s">
        <v>3</v>
      </c>
      <c r="J14" t="s">
        <v>4</v>
      </c>
      <c r="M14" s="3">
        <f t="shared" si="0"/>
        <v>1.2605042016806723E-3</v>
      </c>
      <c r="N14">
        <v>39.6</v>
      </c>
    </row>
    <row r="15" spans="1:15" x14ac:dyDescent="0.3">
      <c r="A15" t="s">
        <v>105</v>
      </c>
      <c r="B15" t="s">
        <v>106</v>
      </c>
      <c r="C15" t="s">
        <v>33</v>
      </c>
      <c r="D15" s="1">
        <v>45378</v>
      </c>
      <c r="E15" s="1">
        <v>45383</v>
      </c>
      <c r="F15" s="2" t="s">
        <v>107</v>
      </c>
      <c r="G15" s="2" t="s">
        <v>108</v>
      </c>
      <c r="H15" t="s">
        <v>235</v>
      </c>
      <c r="I15" t="s">
        <v>3</v>
      </c>
      <c r="J15" t="s">
        <v>4</v>
      </c>
      <c r="M15" s="3">
        <f t="shared" si="0"/>
        <v>0</v>
      </c>
      <c r="N15">
        <v>0</v>
      </c>
    </row>
    <row r="16" spans="1:15" x14ac:dyDescent="0.3">
      <c r="A16" t="s">
        <v>60</v>
      </c>
      <c r="B16" t="s">
        <v>27</v>
      </c>
      <c r="C16" t="s">
        <v>24</v>
      </c>
      <c r="D16" s="1">
        <v>45378</v>
      </c>
      <c r="E16" s="1">
        <v>49034</v>
      </c>
      <c r="F16" s="2" t="s">
        <v>25</v>
      </c>
      <c r="G16" s="2" t="s">
        <v>26</v>
      </c>
      <c r="H16" s="2" t="s">
        <v>235</v>
      </c>
      <c r="I16" t="s">
        <v>3</v>
      </c>
      <c r="J16" t="s">
        <v>4</v>
      </c>
      <c r="M16" s="3">
        <f t="shared" si="0"/>
        <v>0</v>
      </c>
      <c r="N16">
        <v>0</v>
      </c>
    </row>
    <row r="17" spans="1:14" x14ac:dyDescent="0.3">
      <c r="A17" t="s">
        <v>109</v>
      </c>
      <c r="B17" t="s">
        <v>110</v>
      </c>
      <c r="C17" t="s">
        <v>111</v>
      </c>
      <c r="D17" s="1">
        <v>45378</v>
      </c>
      <c r="E17" s="1">
        <v>45384</v>
      </c>
      <c r="F17" s="2" t="s">
        <v>112</v>
      </c>
      <c r="G17" s="2" t="s">
        <v>113</v>
      </c>
      <c r="H17" t="s">
        <v>235</v>
      </c>
      <c r="I17" t="s">
        <v>3</v>
      </c>
      <c r="J17" t="s">
        <v>4</v>
      </c>
      <c r="M17" s="3">
        <f t="shared" si="0"/>
        <v>0</v>
      </c>
      <c r="N17">
        <v>0</v>
      </c>
    </row>
    <row r="18" spans="1:14" x14ac:dyDescent="0.3">
      <c r="A18" t="s">
        <v>114</v>
      </c>
      <c r="B18" t="s">
        <v>115</v>
      </c>
      <c r="C18" t="s">
        <v>116</v>
      </c>
      <c r="D18" s="1">
        <v>45378</v>
      </c>
      <c r="E18" s="1">
        <v>45383</v>
      </c>
      <c r="F18" s="2" t="s">
        <v>117</v>
      </c>
      <c r="G18" s="2" t="s">
        <v>118</v>
      </c>
      <c r="H18" t="s">
        <v>235</v>
      </c>
      <c r="I18" t="s">
        <v>3</v>
      </c>
      <c r="J18" t="s">
        <v>4</v>
      </c>
      <c r="M18" s="3">
        <f t="shared" si="0"/>
        <v>3.6304112554112554E-2</v>
      </c>
      <c r="N18">
        <f>711+47.8+182+40+47.1+11.9+8.43+36.3+56</f>
        <v>1140.53</v>
      </c>
    </row>
    <row r="19" spans="1:14" x14ac:dyDescent="0.3">
      <c r="A19" t="s">
        <v>119</v>
      </c>
      <c r="B19" t="s">
        <v>120</v>
      </c>
      <c r="C19" t="s">
        <v>121</v>
      </c>
      <c r="D19" s="1">
        <v>45378</v>
      </c>
      <c r="E19" s="1">
        <v>45383</v>
      </c>
      <c r="F19" s="2" t="s">
        <v>122</v>
      </c>
      <c r="G19" s="2" t="s">
        <v>123</v>
      </c>
      <c r="H19" t="s">
        <v>235</v>
      </c>
      <c r="I19" t="s">
        <v>3</v>
      </c>
      <c r="J19" t="s">
        <v>4</v>
      </c>
      <c r="M19" s="3">
        <f t="shared" si="0"/>
        <v>0</v>
      </c>
      <c r="N19">
        <v>0</v>
      </c>
    </row>
    <row r="20" spans="1:14" x14ac:dyDescent="0.3">
      <c r="A20" t="s">
        <v>124</v>
      </c>
      <c r="B20" t="s">
        <v>125</v>
      </c>
      <c r="C20" t="s">
        <v>37</v>
      </c>
      <c r="D20" s="1">
        <v>45378</v>
      </c>
      <c r="E20" s="1">
        <v>45381</v>
      </c>
      <c r="F20" s="2" t="s">
        <v>126</v>
      </c>
      <c r="G20" s="2" t="s">
        <v>127</v>
      </c>
      <c r="H20" t="s">
        <v>235</v>
      </c>
      <c r="I20" t="s">
        <v>3</v>
      </c>
      <c r="J20" t="s">
        <v>4</v>
      </c>
      <c r="M20" s="3">
        <f t="shared" si="0"/>
        <v>0</v>
      </c>
      <c r="N20">
        <v>0</v>
      </c>
    </row>
    <row r="21" spans="1:14" x14ac:dyDescent="0.3">
      <c r="A21" t="s">
        <v>128</v>
      </c>
      <c r="B21" t="s">
        <v>129</v>
      </c>
      <c r="C21" t="s">
        <v>121</v>
      </c>
      <c r="D21" s="1">
        <v>45414</v>
      </c>
      <c r="E21" s="1">
        <v>45418</v>
      </c>
      <c r="F21" s="2" t="s">
        <v>130</v>
      </c>
      <c r="G21" s="2" t="s">
        <v>131</v>
      </c>
      <c r="H21" t="s">
        <v>235</v>
      </c>
      <c r="I21" t="s">
        <v>3</v>
      </c>
      <c r="J21" t="s">
        <v>4</v>
      </c>
      <c r="M21" s="3">
        <f t="shared" si="0"/>
        <v>0</v>
      </c>
      <c r="N21">
        <v>0</v>
      </c>
    </row>
    <row r="22" spans="1:14" x14ac:dyDescent="0.3">
      <c r="A22" t="s">
        <v>132</v>
      </c>
      <c r="B22" t="s">
        <v>133</v>
      </c>
      <c r="C22" t="s">
        <v>134</v>
      </c>
      <c r="D22" s="1">
        <v>45378</v>
      </c>
      <c r="E22" s="1">
        <v>45383</v>
      </c>
      <c r="F22" s="2" t="s">
        <v>135</v>
      </c>
      <c r="G22" s="2" t="s">
        <v>136</v>
      </c>
      <c r="H22" t="s">
        <v>235</v>
      </c>
      <c r="I22" t="s">
        <v>3</v>
      </c>
      <c r="J22" t="s">
        <v>4</v>
      </c>
      <c r="M22" s="3">
        <f t="shared" si="0"/>
        <v>0</v>
      </c>
      <c r="N22">
        <v>0</v>
      </c>
    </row>
    <row r="23" spans="1:14" x14ac:dyDescent="0.3">
      <c r="A23" t="s">
        <v>137</v>
      </c>
      <c r="B23" t="s">
        <v>139</v>
      </c>
      <c r="C23" t="s">
        <v>138</v>
      </c>
      <c r="D23" s="1">
        <v>45414</v>
      </c>
      <c r="E23" s="1">
        <v>45420</v>
      </c>
      <c r="F23" s="2" t="s">
        <v>140</v>
      </c>
      <c r="G23" s="2" t="s">
        <v>141</v>
      </c>
      <c r="H23" t="s">
        <v>235</v>
      </c>
      <c r="I23" t="s">
        <v>3</v>
      </c>
      <c r="J23" t="s">
        <v>4</v>
      </c>
      <c r="M23" s="3">
        <f t="shared" si="0"/>
        <v>0</v>
      </c>
      <c r="N23">
        <v>0</v>
      </c>
    </row>
    <row r="24" spans="1:14" x14ac:dyDescent="0.3">
      <c r="A24" t="s">
        <v>142</v>
      </c>
      <c r="B24" t="s">
        <v>143</v>
      </c>
      <c r="C24" t="s">
        <v>144</v>
      </c>
      <c r="D24" s="1">
        <v>45378</v>
      </c>
      <c r="E24" s="1">
        <v>45384</v>
      </c>
      <c r="F24" s="2" t="s">
        <v>145</v>
      </c>
      <c r="G24" s="2" t="s">
        <v>146</v>
      </c>
      <c r="H24" t="s">
        <v>235</v>
      </c>
      <c r="I24" t="s">
        <v>3</v>
      </c>
      <c r="J24" t="s">
        <v>4</v>
      </c>
      <c r="M24" s="3">
        <f t="shared" si="0"/>
        <v>0.33894194041252862</v>
      </c>
      <c r="N24">
        <f>1094+41.6+4113+1335+709+3130+95.8+62+11.5+23.9+20.6+11.8</f>
        <v>10648.199999999999</v>
      </c>
    </row>
    <row r="25" spans="1:14" x14ac:dyDescent="0.3">
      <c r="A25" t="s">
        <v>147</v>
      </c>
      <c r="B25" t="s">
        <v>148</v>
      </c>
      <c r="C25" t="s">
        <v>138</v>
      </c>
      <c r="D25" s="1">
        <v>45378</v>
      </c>
      <c r="E25" s="1">
        <v>45383</v>
      </c>
      <c r="F25" s="2" t="s">
        <v>149</v>
      </c>
      <c r="G25" s="2" t="s">
        <v>150</v>
      </c>
      <c r="H25" t="s">
        <v>235</v>
      </c>
      <c r="I25" t="s">
        <v>3</v>
      </c>
      <c r="J25" t="s">
        <v>4</v>
      </c>
      <c r="M25" s="3">
        <f t="shared" si="0"/>
        <v>0.3567099567099567</v>
      </c>
      <c r="N25">
        <f>226+94.4+282+1892+398+2823+2304+1244+143+185+1615</f>
        <v>11206.4</v>
      </c>
    </row>
    <row r="26" spans="1:14" x14ac:dyDescent="0.3">
      <c r="A26" t="s">
        <v>151</v>
      </c>
      <c r="B26" t="s">
        <v>152</v>
      </c>
      <c r="C26" t="s">
        <v>111</v>
      </c>
      <c r="D26" s="1">
        <v>45414</v>
      </c>
      <c r="E26" s="1">
        <v>45419</v>
      </c>
      <c r="F26" s="2" t="s">
        <v>153</v>
      </c>
      <c r="G26" s="2" t="s">
        <v>154</v>
      </c>
      <c r="H26" t="s">
        <v>236</v>
      </c>
      <c r="I26" t="s">
        <v>3</v>
      </c>
      <c r="J26" t="s">
        <v>4</v>
      </c>
      <c r="M26" s="3">
        <f t="shared" si="0"/>
        <v>0.87242169595110775</v>
      </c>
      <c r="N26">
        <v>27408</v>
      </c>
    </row>
    <row r="27" spans="1:14" x14ac:dyDescent="0.3">
      <c r="A27" t="s">
        <v>61</v>
      </c>
      <c r="B27" t="s">
        <v>28</v>
      </c>
      <c r="C27" t="s">
        <v>29</v>
      </c>
      <c r="D27" s="1">
        <v>45414</v>
      </c>
      <c r="E27" s="1">
        <v>45419</v>
      </c>
      <c r="F27" s="2" t="s">
        <v>30</v>
      </c>
      <c r="G27" s="2" t="s">
        <v>31</v>
      </c>
      <c r="H27" s="2" t="s">
        <v>236</v>
      </c>
      <c r="I27" t="s">
        <v>3</v>
      </c>
      <c r="J27" t="s">
        <v>4</v>
      </c>
      <c r="M27" s="3">
        <f t="shared" si="0"/>
        <v>0.70643621084797559</v>
      </c>
      <c r="N27">
        <f>5392+323+58.7+145+87.7+1715+2957+187+2352+638+173+221+4780+2614+191+359</f>
        <v>22193.4</v>
      </c>
    </row>
    <row r="28" spans="1:14" x14ac:dyDescent="0.3">
      <c r="A28" t="s">
        <v>155</v>
      </c>
      <c r="B28" t="s">
        <v>156</v>
      </c>
      <c r="C28" t="s">
        <v>89</v>
      </c>
      <c r="D28" s="1">
        <v>45414</v>
      </c>
      <c r="E28" s="1">
        <v>45419</v>
      </c>
      <c r="F28" s="2" t="s">
        <v>157</v>
      </c>
      <c r="G28" s="2" t="s">
        <v>158</v>
      </c>
      <c r="H28" t="s">
        <v>236</v>
      </c>
      <c r="I28" t="s">
        <v>3</v>
      </c>
      <c r="J28" t="s">
        <v>4</v>
      </c>
      <c r="L28" t="s">
        <v>163</v>
      </c>
      <c r="M28" s="3">
        <f t="shared" si="0"/>
        <v>0.87764196587725996</v>
      </c>
      <c r="N28">
        <v>27572</v>
      </c>
    </row>
    <row r="29" spans="1:14" x14ac:dyDescent="0.3">
      <c r="A29" t="s">
        <v>159</v>
      </c>
      <c r="B29" t="s">
        <v>160</v>
      </c>
      <c r="C29" t="s">
        <v>44</v>
      </c>
      <c r="D29" s="1">
        <v>45414</v>
      </c>
      <c r="E29" s="1">
        <v>45417</v>
      </c>
      <c r="F29" s="2" t="s">
        <v>161</v>
      </c>
      <c r="G29" s="2" t="s">
        <v>162</v>
      </c>
      <c r="H29" t="s">
        <v>236</v>
      </c>
      <c r="I29" t="s">
        <v>3</v>
      </c>
      <c r="J29" t="s">
        <v>4</v>
      </c>
      <c r="M29" s="3">
        <f t="shared" si="0"/>
        <v>0.43166857652151774</v>
      </c>
      <c r="N29">
        <f>174+392+380+1185+20.7+4115+17.7+12.3+13.6+53.6+3438+896+46.4+44+1891+307+575</f>
        <v>13561.300000000001</v>
      </c>
    </row>
    <row r="30" spans="1:14" x14ac:dyDescent="0.3">
      <c r="A30" t="s">
        <v>164</v>
      </c>
      <c r="B30" t="s">
        <v>165</v>
      </c>
      <c r="C30" t="s">
        <v>144</v>
      </c>
      <c r="D30" s="1">
        <v>45341</v>
      </c>
      <c r="E30" s="1">
        <v>45346</v>
      </c>
      <c r="F30" s="2" t="s">
        <v>170</v>
      </c>
      <c r="G30" s="2" t="s">
        <v>171</v>
      </c>
      <c r="H30" t="s">
        <v>229</v>
      </c>
      <c r="I30" t="s">
        <v>3</v>
      </c>
      <c r="J30" t="s">
        <v>4</v>
      </c>
      <c r="M30" s="3">
        <f t="shared" si="0"/>
        <v>0</v>
      </c>
      <c r="N30">
        <v>0</v>
      </c>
    </row>
    <row r="31" spans="1:14" x14ac:dyDescent="0.3">
      <c r="A31" t="s">
        <v>172</v>
      </c>
      <c r="B31" t="s">
        <v>166</v>
      </c>
      <c r="C31" t="s">
        <v>138</v>
      </c>
      <c r="D31" s="1">
        <v>45341</v>
      </c>
      <c r="E31" s="1">
        <v>45346</v>
      </c>
      <c r="F31" s="2" t="s">
        <v>174</v>
      </c>
      <c r="G31" s="2" t="s">
        <v>175</v>
      </c>
      <c r="H31" t="s">
        <v>229</v>
      </c>
      <c r="I31" t="s">
        <v>3</v>
      </c>
      <c r="J31" t="s">
        <v>4</v>
      </c>
      <c r="M31" s="3">
        <f t="shared" si="0"/>
        <v>0</v>
      </c>
      <c r="N31">
        <v>0</v>
      </c>
    </row>
    <row r="32" spans="1:14" x14ac:dyDescent="0.3">
      <c r="A32" t="s">
        <v>176</v>
      </c>
      <c r="B32" t="s">
        <v>167</v>
      </c>
      <c r="C32" t="s">
        <v>48</v>
      </c>
      <c r="D32" s="1">
        <v>45341</v>
      </c>
      <c r="E32" s="1">
        <v>45346</v>
      </c>
      <c r="F32" s="2" t="s">
        <v>177</v>
      </c>
      <c r="G32" s="2" t="s">
        <v>178</v>
      </c>
      <c r="H32" t="s">
        <v>229</v>
      </c>
      <c r="I32" t="s">
        <v>3</v>
      </c>
      <c r="J32" t="s">
        <v>4</v>
      </c>
      <c r="M32" s="3">
        <f t="shared" si="0"/>
        <v>0</v>
      </c>
      <c r="N32">
        <v>0</v>
      </c>
    </row>
    <row r="33" spans="1:14" x14ac:dyDescent="0.3">
      <c r="A33" t="s">
        <v>63</v>
      </c>
      <c r="B33" t="s">
        <v>36</v>
      </c>
      <c r="C33" t="s">
        <v>37</v>
      </c>
      <c r="D33" s="1">
        <v>45341</v>
      </c>
      <c r="E33" s="1">
        <v>45346</v>
      </c>
      <c r="F33" s="2" t="s">
        <v>38</v>
      </c>
      <c r="G33" s="2" t="s">
        <v>39</v>
      </c>
      <c r="H33" t="s">
        <v>229</v>
      </c>
      <c r="I33" t="s">
        <v>3</v>
      </c>
      <c r="J33" t="s">
        <v>4</v>
      </c>
      <c r="M33" s="3">
        <f t="shared" si="0"/>
        <v>5.1056786350904E-2</v>
      </c>
      <c r="N33">
        <v>1604</v>
      </c>
    </row>
    <row r="34" spans="1:14" x14ac:dyDescent="0.3">
      <c r="A34" t="s">
        <v>179</v>
      </c>
      <c r="B34" t="s">
        <v>168</v>
      </c>
      <c r="C34" t="s">
        <v>29</v>
      </c>
      <c r="D34" s="1">
        <v>45341</v>
      </c>
      <c r="E34" s="1">
        <v>45346</v>
      </c>
      <c r="F34" s="2" t="s">
        <v>180</v>
      </c>
      <c r="G34" s="2" t="s">
        <v>181</v>
      </c>
      <c r="H34" t="s">
        <v>229</v>
      </c>
      <c r="I34" t="s">
        <v>3</v>
      </c>
      <c r="J34" t="s">
        <v>4</v>
      </c>
      <c r="M34" s="3">
        <f t="shared" ref="M34:M50" si="1">(N34/31416)</f>
        <v>2.5350140056022413E-2</v>
      </c>
      <c r="N34">
        <f>354+41.9+13.8+322+64.7</f>
        <v>796.40000000000009</v>
      </c>
    </row>
    <row r="35" spans="1:14" x14ac:dyDescent="0.3">
      <c r="A35" t="s">
        <v>182</v>
      </c>
      <c r="B35" t="s">
        <v>169</v>
      </c>
      <c r="C35" t="s">
        <v>134</v>
      </c>
      <c r="D35" s="1">
        <v>45341</v>
      </c>
      <c r="E35" s="1">
        <v>45346</v>
      </c>
      <c r="F35" s="2" t="s">
        <v>183</v>
      </c>
      <c r="G35" s="2" t="s">
        <v>184</v>
      </c>
      <c r="H35" t="s">
        <v>229</v>
      </c>
      <c r="I35" t="s">
        <v>3</v>
      </c>
      <c r="J35" t="s">
        <v>4</v>
      </c>
      <c r="M35" s="3">
        <f t="shared" si="1"/>
        <v>1.3174815380697733E-2</v>
      </c>
      <c r="N35">
        <f>51.3+58.9+89+24.8+35.2+10+31.7+113</f>
        <v>413.9</v>
      </c>
    </row>
    <row r="36" spans="1:14" x14ac:dyDescent="0.3">
      <c r="A36" t="s">
        <v>185</v>
      </c>
      <c r="B36" t="s">
        <v>173</v>
      </c>
      <c r="C36" t="s">
        <v>44</v>
      </c>
      <c r="D36" s="1">
        <v>45341</v>
      </c>
      <c r="E36" s="1">
        <v>45346</v>
      </c>
      <c r="F36" s="2" t="s">
        <v>186</v>
      </c>
      <c r="G36" s="2" t="s">
        <v>187</v>
      </c>
      <c r="H36" t="s">
        <v>229</v>
      </c>
      <c r="I36" t="s">
        <v>3</v>
      </c>
      <c r="J36" t="s">
        <v>4</v>
      </c>
      <c r="M36" s="3">
        <f t="shared" si="1"/>
        <v>1.3585434173669468E-2</v>
      </c>
      <c r="N36">
        <f>119+17.2+155+29.8+19.7+46.6+39.5</f>
        <v>426.8</v>
      </c>
    </row>
    <row r="37" spans="1:14" x14ac:dyDescent="0.3">
      <c r="A37" t="s">
        <v>192</v>
      </c>
      <c r="B37" t="s">
        <v>188</v>
      </c>
      <c r="C37" t="s">
        <v>121</v>
      </c>
      <c r="D37" s="1">
        <v>45341</v>
      </c>
      <c r="E37" s="1">
        <v>45347</v>
      </c>
      <c r="F37" s="2" t="s">
        <v>190</v>
      </c>
      <c r="G37" s="2" t="s">
        <v>191</v>
      </c>
      <c r="H37" t="s">
        <v>229</v>
      </c>
      <c r="I37" t="s">
        <v>3</v>
      </c>
      <c r="J37" t="s">
        <v>4</v>
      </c>
      <c r="M37" s="3">
        <f t="shared" si="1"/>
        <v>3.106697224344283E-3</v>
      </c>
      <c r="N37">
        <f>34.7+46.8+16.1</f>
        <v>97.6</v>
      </c>
    </row>
    <row r="38" spans="1:14" x14ac:dyDescent="0.3">
      <c r="A38" t="s">
        <v>193</v>
      </c>
      <c r="B38" t="s">
        <v>189</v>
      </c>
      <c r="C38" t="s">
        <v>21</v>
      </c>
      <c r="D38" s="1">
        <v>45341</v>
      </c>
      <c r="E38" s="1">
        <v>45347</v>
      </c>
      <c r="F38" s="2" t="s">
        <v>194</v>
      </c>
      <c r="G38" s="2" t="s">
        <v>195</v>
      </c>
      <c r="H38" t="s">
        <v>229</v>
      </c>
      <c r="I38" t="s">
        <v>3</v>
      </c>
      <c r="J38" t="s">
        <v>4</v>
      </c>
      <c r="M38" s="3">
        <f t="shared" si="1"/>
        <v>1.0450089126559715E-2</v>
      </c>
      <c r="N38">
        <f>98.6+128+90.7+11</f>
        <v>328.3</v>
      </c>
    </row>
    <row r="39" spans="1:14" x14ac:dyDescent="0.3">
      <c r="A39" t="s">
        <v>196</v>
      </c>
      <c r="B39" t="s">
        <v>197</v>
      </c>
      <c r="C39" t="s">
        <v>111</v>
      </c>
      <c r="D39" s="1">
        <v>45337</v>
      </c>
      <c r="E39" s="1">
        <v>45342</v>
      </c>
      <c r="F39" s="2" t="s">
        <v>198</v>
      </c>
      <c r="G39" s="2" t="s">
        <v>199</v>
      </c>
      <c r="H39" s="2" t="s">
        <v>231</v>
      </c>
      <c r="I39" t="s">
        <v>3</v>
      </c>
      <c r="J39" t="s">
        <v>4</v>
      </c>
      <c r="M39" s="3">
        <f t="shared" si="1"/>
        <v>1.0035968933027755E-2</v>
      </c>
      <c r="N39">
        <f>28+82.5+8.69+82.6+73.2+11.4+28.9</f>
        <v>315.28999999999996</v>
      </c>
    </row>
    <row r="40" spans="1:14" x14ac:dyDescent="0.3">
      <c r="A40" t="s">
        <v>200</v>
      </c>
      <c r="B40" t="s">
        <v>201</v>
      </c>
      <c r="C40" t="s">
        <v>98</v>
      </c>
      <c r="D40" s="1">
        <v>45337</v>
      </c>
      <c r="E40" s="1">
        <v>45342</v>
      </c>
      <c r="F40" s="2" t="s">
        <v>202</v>
      </c>
      <c r="G40" s="2" t="s">
        <v>203</v>
      </c>
      <c r="H40" s="2" t="s">
        <v>231</v>
      </c>
      <c r="I40" t="s">
        <v>3</v>
      </c>
      <c r="J40" t="s">
        <v>4</v>
      </c>
      <c r="M40" s="3">
        <f t="shared" si="1"/>
        <v>2.7692895339954163E-3</v>
      </c>
      <c r="N40">
        <v>87</v>
      </c>
    </row>
    <row r="41" spans="1:14" x14ac:dyDescent="0.3">
      <c r="A41" t="s">
        <v>62</v>
      </c>
      <c r="B41" t="s">
        <v>32</v>
      </c>
      <c r="C41" t="s">
        <v>33</v>
      </c>
      <c r="D41" s="1">
        <v>45337</v>
      </c>
      <c r="E41" s="1">
        <v>45342</v>
      </c>
      <c r="F41" s="2" t="s">
        <v>34</v>
      </c>
      <c r="G41" s="2" t="s">
        <v>35</v>
      </c>
      <c r="H41" s="2" t="s">
        <v>231</v>
      </c>
      <c r="I41" t="s">
        <v>3</v>
      </c>
      <c r="J41" t="s">
        <v>4</v>
      </c>
      <c r="M41" s="3">
        <f t="shared" si="1"/>
        <v>0</v>
      </c>
      <c r="N41">
        <v>0</v>
      </c>
    </row>
    <row r="42" spans="1:14" x14ac:dyDescent="0.3">
      <c r="A42" t="s">
        <v>204</v>
      </c>
      <c r="B42" t="s">
        <v>205</v>
      </c>
      <c r="C42" t="s">
        <v>206</v>
      </c>
      <c r="D42" s="1">
        <v>45341</v>
      </c>
      <c r="E42" s="1">
        <v>45347</v>
      </c>
      <c r="F42" s="2" t="s">
        <v>207</v>
      </c>
      <c r="G42" s="2" t="s">
        <v>208</v>
      </c>
      <c r="H42" t="s">
        <v>230</v>
      </c>
      <c r="I42" t="s">
        <v>3</v>
      </c>
      <c r="J42" t="s">
        <v>4</v>
      </c>
      <c r="M42" s="3">
        <f t="shared" si="1"/>
        <v>0.19798510313216194</v>
      </c>
      <c r="N42">
        <f>1316+1202+2038+42.9+1621</f>
        <v>6219.9</v>
      </c>
    </row>
    <row r="43" spans="1:14" x14ac:dyDescent="0.3">
      <c r="A43" t="s">
        <v>64</v>
      </c>
      <c r="B43" t="s">
        <v>40</v>
      </c>
      <c r="C43" t="s">
        <v>15</v>
      </c>
      <c r="D43" s="1">
        <v>45341</v>
      </c>
      <c r="E43" s="1">
        <v>45346</v>
      </c>
      <c r="F43" s="2" t="s">
        <v>41</v>
      </c>
      <c r="G43" s="2" t="s">
        <v>42</v>
      </c>
      <c r="H43" t="s">
        <v>230</v>
      </c>
      <c r="I43" t="s">
        <v>3</v>
      </c>
      <c r="J43" t="s">
        <v>4</v>
      </c>
      <c r="M43" s="3">
        <f t="shared" si="1"/>
        <v>4.004329004329004E-2</v>
      </c>
      <c r="N43">
        <v>1258</v>
      </c>
    </row>
    <row r="44" spans="1:14" x14ac:dyDescent="0.3">
      <c r="A44" t="s">
        <v>65</v>
      </c>
      <c r="B44" t="s">
        <v>47</v>
      </c>
      <c r="C44" t="s">
        <v>48</v>
      </c>
      <c r="D44" s="1">
        <v>45414</v>
      </c>
      <c r="E44" s="1">
        <v>45420</v>
      </c>
      <c r="F44" s="2" t="s">
        <v>49</v>
      </c>
      <c r="G44" s="2" t="s">
        <v>46</v>
      </c>
      <c r="H44" t="s">
        <v>234</v>
      </c>
      <c r="I44" t="s">
        <v>3</v>
      </c>
      <c r="J44" t="s">
        <v>4</v>
      </c>
      <c r="M44" s="3">
        <f t="shared" si="1"/>
        <v>8.3511586452762937E-2</v>
      </c>
      <c r="N44">
        <f>82.3+273+254+18.5+359+440+689+460+47.8</f>
        <v>2623.6000000000004</v>
      </c>
    </row>
    <row r="45" spans="1:14" x14ac:dyDescent="0.3">
      <c r="A45" t="s">
        <v>209</v>
      </c>
      <c r="B45" t="s">
        <v>214</v>
      </c>
      <c r="C45" t="s">
        <v>134</v>
      </c>
      <c r="D45" s="1">
        <v>45392</v>
      </c>
      <c r="E45" s="1">
        <v>45397</v>
      </c>
      <c r="F45" s="2" t="s">
        <v>219</v>
      </c>
      <c r="G45" s="2" t="s">
        <v>223</v>
      </c>
      <c r="H45" t="s">
        <v>234</v>
      </c>
      <c r="I45" t="s">
        <v>3</v>
      </c>
      <c r="J45" t="s">
        <v>4</v>
      </c>
      <c r="M45" s="3">
        <f t="shared" si="1"/>
        <v>0.82343391902215435</v>
      </c>
      <c r="N45">
        <f>1004+17373+454+2611+4427</f>
        <v>25869</v>
      </c>
    </row>
    <row r="46" spans="1:14" x14ac:dyDescent="0.3">
      <c r="A46" t="s">
        <v>210</v>
      </c>
      <c r="B46" t="s">
        <v>215</v>
      </c>
      <c r="C46" t="s">
        <v>144</v>
      </c>
      <c r="D46" s="1">
        <v>45392</v>
      </c>
      <c r="E46" s="1">
        <v>45393</v>
      </c>
      <c r="F46" s="2" t="s">
        <v>225</v>
      </c>
      <c r="G46" s="2" t="s">
        <v>226</v>
      </c>
      <c r="H46" t="s">
        <v>234</v>
      </c>
      <c r="I46" t="s">
        <v>3</v>
      </c>
      <c r="J46" t="s">
        <v>4</v>
      </c>
      <c r="M46" s="3">
        <f t="shared" si="1"/>
        <v>0.33003246753246751</v>
      </c>
      <c r="N46">
        <f>6379+894+276+414+76+82.5+76+12.8+610+481+251+816</f>
        <v>10368.299999999999</v>
      </c>
    </row>
    <row r="47" spans="1:14" x14ac:dyDescent="0.3">
      <c r="A47" t="s">
        <v>211</v>
      </c>
      <c r="B47" t="s">
        <v>216</v>
      </c>
      <c r="C47" t="s">
        <v>116</v>
      </c>
      <c r="D47" s="1">
        <v>45392</v>
      </c>
      <c r="E47" s="1">
        <v>45396</v>
      </c>
      <c r="F47" s="2" t="s">
        <v>220</v>
      </c>
      <c r="G47" s="2" t="s">
        <v>227</v>
      </c>
      <c r="H47" t="s">
        <v>234</v>
      </c>
      <c r="I47" t="s">
        <v>3</v>
      </c>
      <c r="J47" t="s">
        <v>4</v>
      </c>
      <c r="M47" s="3">
        <f t="shared" si="1"/>
        <v>0.36791762159409219</v>
      </c>
      <c r="N47">
        <f>3453+7608+66.4+306+29.5+95.6</f>
        <v>11558.5</v>
      </c>
    </row>
    <row r="48" spans="1:14" x14ac:dyDescent="0.3">
      <c r="A48" t="s">
        <v>66</v>
      </c>
      <c r="B48" t="s">
        <v>43</v>
      </c>
      <c r="C48" t="s">
        <v>44</v>
      </c>
      <c r="D48" s="1">
        <v>45392</v>
      </c>
      <c r="E48" s="1">
        <v>45399</v>
      </c>
      <c r="F48" s="2" t="s">
        <v>45</v>
      </c>
      <c r="G48" s="2" t="s">
        <v>46</v>
      </c>
      <c r="H48" t="s">
        <v>234</v>
      </c>
      <c r="I48" t="s">
        <v>3</v>
      </c>
      <c r="J48" t="s">
        <v>4</v>
      </c>
      <c r="M48" s="3">
        <f t="shared" si="1"/>
        <v>0.39698242933537053</v>
      </c>
      <c r="N48">
        <f>10.3+247+548+60.4+1172+298+831+211+122+4743+1061+231+60.9+659+513+901+290+513</f>
        <v>12471.6</v>
      </c>
    </row>
    <row r="49" spans="1:14" x14ac:dyDescent="0.3">
      <c r="A49" t="s">
        <v>212</v>
      </c>
      <c r="B49" t="s">
        <v>217</v>
      </c>
      <c r="C49" t="s">
        <v>206</v>
      </c>
      <c r="D49" s="1">
        <v>45392</v>
      </c>
      <c r="E49" s="1">
        <v>45398</v>
      </c>
      <c r="F49" s="2" t="s">
        <v>221</v>
      </c>
      <c r="G49" s="2" t="s">
        <v>228</v>
      </c>
      <c r="H49" t="s">
        <v>234</v>
      </c>
      <c r="I49" t="s">
        <v>3</v>
      </c>
      <c r="J49" t="s">
        <v>4</v>
      </c>
      <c r="M49" s="3">
        <f t="shared" si="1"/>
        <v>0.19789279348102878</v>
      </c>
      <c r="N49">
        <f>166+1955+16.9+167+65.5+67.1+170+975+92.6+212+1601+664+64.9</f>
        <v>6217</v>
      </c>
    </row>
    <row r="50" spans="1:14" x14ac:dyDescent="0.3">
      <c r="A50" t="s">
        <v>213</v>
      </c>
      <c r="B50" t="s">
        <v>218</v>
      </c>
      <c r="C50" t="s">
        <v>121</v>
      </c>
      <c r="D50" s="1">
        <v>45392</v>
      </c>
      <c r="E50" s="1">
        <v>45398</v>
      </c>
      <c r="F50" s="2" t="s">
        <v>222</v>
      </c>
      <c r="G50" s="2" t="s">
        <v>224</v>
      </c>
      <c r="H50" t="s">
        <v>234</v>
      </c>
      <c r="I50" t="s">
        <v>3</v>
      </c>
      <c r="J50" t="s">
        <v>4</v>
      </c>
      <c r="M50" s="3">
        <f t="shared" si="1"/>
        <v>0.25339635854341735</v>
      </c>
      <c r="N50">
        <f>201+7695+64.7</f>
        <v>7960.7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B0368-8500-4B64-BB44-E1EF0546AFD7}">
  <dimension ref="A1:P418"/>
  <sheetViews>
    <sheetView tabSelected="1" topLeftCell="A401" zoomScale="81" workbookViewId="0">
      <selection activeCell="B419" sqref="B419"/>
    </sheetView>
  </sheetViews>
  <sheetFormatPr baseColWidth="10" defaultRowHeight="14.4" x14ac:dyDescent="0.3"/>
  <sheetData>
    <row r="1" spans="1:16" x14ac:dyDescent="0.3">
      <c r="A1" s="7" t="s">
        <v>238</v>
      </c>
      <c r="B1" s="7" t="s">
        <v>239</v>
      </c>
      <c r="C1" s="7" t="s">
        <v>255</v>
      </c>
      <c r="D1" s="7" t="s">
        <v>240</v>
      </c>
      <c r="E1" s="7" t="s">
        <v>241</v>
      </c>
      <c r="F1" s="7" t="s">
        <v>242</v>
      </c>
      <c r="G1" s="7" t="s">
        <v>243</v>
      </c>
      <c r="H1" s="7" t="s">
        <v>254</v>
      </c>
      <c r="I1" s="7" t="s">
        <v>244</v>
      </c>
      <c r="J1" s="7" t="s">
        <v>245</v>
      </c>
      <c r="K1" s="7" t="s">
        <v>307</v>
      </c>
      <c r="L1" s="7" t="s">
        <v>308</v>
      </c>
      <c r="M1" s="7" t="s">
        <v>309</v>
      </c>
      <c r="N1" s="7" t="s">
        <v>310</v>
      </c>
      <c r="O1" s="7" t="s">
        <v>311</v>
      </c>
      <c r="P1" s="7" t="s">
        <v>312</v>
      </c>
    </row>
    <row r="2" spans="1:16" x14ac:dyDescent="0.3">
      <c r="A2" s="7" t="s">
        <v>246</v>
      </c>
      <c r="B2" s="7" t="s">
        <v>247</v>
      </c>
      <c r="C2" s="7" t="s">
        <v>256</v>
      </c>
      <c r="D2" s="7" t="s">
        <v>248</v>
      </c>
      <c r="E2" s="7" t="s">
        <v>249</v>
      </c>
      <c r="F2" s="7" t="s">
        <v>250</v>
      </c>
      <c r="G2" s="7" t="s">
        <v>251</v>
      </c>
      <c r="H2" s="7" t="s">
        <v>270</v>
      </c>
      <c r="I2" s="7" t="s">
        <v>252</v>
      </c>
      <c r="J2" s="7" t="s">
        <v>253</v>
      </c>
      <c r="K2" s="7" t="s">
        <v>288</v>
      </c>
      <c r="L2" s="7" t="s">
        <v>289</v>
      </c>
      <c r="M2" s="7" t="s">
        <v>290</v>
      </c>
      <c r="N2" s="7" t="s">
        <v>291</v>
      </c>
      <c r="O2" s="7" t="s">
        <v>313</v>
      </c>
      <c r="P2" s="7" t="s">
        <v>297</v>
      </c>
    </row>
    <row r="3" spans="1:16" x14ac:dyDescent="0.3">
      <c r="A3" s="7" t="s">
        <v>259</v>
      </c>
      <c r="B3" s="7" t="s">
        <v>266</v>
      </c>
      <c r="C3" s="7" t="s">
        <v>258</v>
      </c>
      <c r="D3" s="8">
        <v>45395</v>
      </c>
      <c r="E3" s="9">
        <v>0.25</v>
      </c>
      <c r="F3" s="9">
        <v>0.25694444444444442</v>
      </c>
      <c r="G3" s="7" t="s">
        <v>278</v>
      </c>
      <c r="H3" s="10" t="s">
        <v>0</v>
      </c>
      <c r="I3" s="11" t="s">
        <v>1</v>
      </c>
      <c r="J3" s="11" t="s">
        <v>2</v>
      </c>
    </row>
    <row r="4" spans="1:16" x14ac:dyDescent="0.3">
      <c r="A4" s="7" t="s">
        <v>260</v>
      </c>
      <c r="B4" s="7" t="s">
        <v>257</v>
      </c>
      <c r="C4" s="7" t="s">
        <v>258</v>
      </c>
      <c r="D4" s="8">
        <v>45395</v>
      </c>
      <c r="E4" s="9">
        <v>0.25</v>
      </c>
      <c r="F4" s="9">
        <v>0.25694444444444442</v>
      </c>
      <c r="G4" s="7" t="s">
        <v>278</v>
      </c>
      <c r="H4" s="10" t="s">
        <v>0</v>
      </c>
      <c r="I4" s="11" t="s">
        <v>1</v>
      </c>
      <c r="J4" s="11" t="s">
        <v>2</v>
      </c>
    </row>
    <row r="5" spans="1:16" x14ac:dyDescent="0.3">
      <c r="A5" s="7" t="s">
        <v>261</v>
      </c>
      <c r="B5" s="10" t="s">
        <v>265</v>
      </c>
      <c r="C5" s="7" t="s">
        <v>258</v>
      </c>
      <c r="D5" s="8">
        <v>45395</v>
      </c>
      <c r="E5" s="9">
        <v>0.25</v>
      </c>
      <c r="F5" s="9">
        <v>0.25694444444444398</v>
      </c>
      <c r="G5" s="7" t="s">
        <v>278</v>
      </c>
      <c r="H5" s="10" t="s">
        <v>0</v>
      </c>
      <c r="I5" s="11" t="s">
        <v>1</v>
      </c>
      <c r="J5" s="11" t="s">
        <v>2</v>
      </c>
    </row>
    <row r="6" spans="1:16" x14ac:dyDescent="0.3">
      <c r="A6" s="7" t="s">
        <v>262</v>
      </c>
      <c r="B6" s="10" t="s">
        <v>264</v>
      </c>
      <c r="C6" s="7" t="s">
        <v>258</v>
      </c>
      <c r="D6" s="8">
        <v>45395</v>
      </c>
      <c r="E6" s="9">
        <v>0.25</v>
      </c>
      <c r="F6" s="9">
        <v>0.25694444444444398</v>
      </c>
      <c r="G6" s="7" t="s">
        <v>278</v>
      </c>
      <c r="H6" s="10" t="s">
        <v>0</v>
      </c>
      <c r="I6" s="11" t="s">
        <v>1</v>
      </c>
      <c r="J6" s="11" t="s">
        <v>2</v>
      </c>
    </row>
    <row r="7" spans="1:16" x14ac:dyDescent="0.3">
      <c r="A7" s="7" t="s">
        <v>263</v>
      </c>
      <c r="B7" s="10" t="s">
        <v>268</v>
      </c>
      <c r="C7" s="7" t="s">
        <v>258</v>
      </c>
      <c r="D7" s="8">
        <v>45395</v>
      </c>
      <c r="E7" s="9">
        <v>0.25</v>
      </c>
      <c r="F7" s="9">
        <v>0.25694444444444398</v>
      </c>
      <c r="G7" s="7" t="s">
        <v>278</v>
      </c>
      <c r="H7" s="10" t="s">
        <v>0</v>
      </c>
      <c r="I7" s="11" t="s">
        <v>1</v>
      </c>
      <c r="J7" s="11" t="s">
        <v>2</v>
      </c>
    </row>
    <row r="8" spans="1:16" x14ac:dyDescent="0.3">
      <c r="A8" s="7" t="s">
        <v>269</v>
      </c>
      <c r="B8" s="10" t="s">
        <v>267</v>
      </c>
      <c r="C8" s="7" t="s">
        <v>258</v>
      </c>
      <c r="D8" s="8">
        <v>45395</v>
      </c>
      <c r="E8" s="9">
        <v>0.25</v>
      </c>
      <c r="F8" s="9">
        <v>0.25694444444444398</v>
      </c>
      <c r="G8" s="7" t="s">
        <v>278</v>
      </c>
      <c r="H8" s="10" t="s">
        <v>0</v>
      </c>
      <c r="I8" s="11" t="s">
        <v>1</v>
      </c>
      <c r="J8" s="11" t="s">
        <v>2</v>
      </c>
    </row>
    <row r="9" spans="1:16" x14ac:dyDescent="0.3">
      <c r="A9" s="7" t="s">
        <v>260</v>
      </c>
      <c r="B9" s="10" t="s">
        <v>257</v>
      </c>
      <c r="C9" s="7" t="s">
        <v>258</v>
      </c>
      <c r="D9" s="12">
        <v>45350</v>
      </c>
      <c r="E9" s="9">
        <v>0.25</v>
      </c>
      <c r="F9" s="9">
        <v>0.25694444444444398</v>
      </c>
      <c r="G9" s="7" t="s">
        <v>278</v>
      </c>
      <c r="H9" s="10" t="s">
        <v>53</v>
      </c>
      <c r="I9" s="11" t="s">
        <v>54</v>
      </c>
      <c r="J9" s="11" t="s">
        <v>55</v>
      </c>
    </row>
    <row r="10" spans="1:16" x14ac:dyDescent="0.3">
      <c r="A10" s="7" t="s">
        <v>261</v>
      </c>
      <c r="B10" s="10" t="s">
        <v>265</v>
      </c>
      <c r="C10" s="7" t="s">
        <v>258</v>
      </c>
      <c r="D10" s="12">
        <v>45350</v>
      </c>
      <c r="E10" s="9">
        <v>0.25</v>
      </c>
      <c r="F10" s="9">
        <v>0.25694444444444398</v>
      </c>
      <c r="G10" s="7" t="s">
        <v>278</v>
      </c>
      <c r="H10" s="10" t="s">
        <v>53</v>
      </c>
      <c r="I10" s="11" t="s">
        <v>54</v>
      </c>
      <c r="J10" s="11" t="s">
        <v>55</v>
      </c>
    </row>
    <row r="11" spans="1:16" x14ac:dyDescent="0.3">
      <c r="A11" s="7" t="s">
        <v>259</v>
      </c>
      <c r="B11" s="10" t="s">
        <v>266</v>
      </c>
      <c r="C11" s="7" t="s">
        <v>258</v>
      </c>
      <c r="D11" s="12">
        <v>45350</v>
      </c>
      <c r="E11" s="9">
        <v>0.25</v>
      </c>
      <c r="F11" s="9">
        <v>0.25694444444444398</v>
      </c>
      <c r="G11" s="7" t="s">
        <v>278</v>
      </c>
      <c r="H11" s="10" t="s">
        <v>53</v>
      </c>
      <c r="I11" s="11" t="s">
        <v>54</v>
      </c>
      <c r="J11" s="11" t="s">
        <v>55</v>
      </c>
    </row>
    <row r="12" spans="1:16" x14ac:dyDescent="0.3">
      <c r="A12" s="7" t="s">
        <v>271</v>
      </c>
      <c r="B12" s="13" t="s">
        <v>272</v>
      </c>
      <c r="C12" s="7" t="s">
        <v>258</v>
      </c>
      <c r="D12" s="12">
        <v>45350</v>
      </c>
      <c r="E12" s="9">
        <v>0.25</v>
      </c>
      <c r="F12" s="9">
        <v>0.25694444444444398</v>
      </c>
      <c r="G12" s="7" t="s">
        <v>278</v>
      </c>
      <c r="H12" s="10" t="s">
        <v>53</v>
      </c>
      <c r="I12" s="11" t="s">
        <v>54</v>
      </c>
      <c r="J12" s="11" t="s">
        <v>55</v>
      </c>
    </row>
    <row r="13" spans="1:16" x14ac:dyDescent="0.3">
      <c r="A13" s="7" t="s">
        <v>273</v>
      </c>
      <c r="B13" s="10" t="s">
        <v>275</v>
      </c>
      <c r="C13" s="7" t="s">
        <v>274</v>
      </c>
      <c r="D13" s="12">
        <v>45350</v>
      </c>
      <c r="E13" s="9">
        <v>0.25</v>
      </c>
      <c r="F13" s="9">
        <v>0.25694444444444398</v>
      </c>
      <c r="G13" s="7" t="s">
        <v>278</v>
      </c>
      <c r="H13" s="10" t="s">
        <v>53</v>
      </c>
      <c r="I13" s="11" t="s">
        <v>54</v>
      </c>
      <c r="J13" s="11" t="s">
        <v>55</v>
      </c>
    </row>
    <row r="14" spans="1:16" x14ac:dyDescent="0.3">
      <c r="A14" s="7" t="s">
        <v>259</v>
      </c>
      <c r="B14" s="10" t="s">
        <v>266</v>
      </c>
      <c r="C14" s="7" t="s">
        <v>258</v>
      </c>
      <c r="D14" s="12">
        <v>45395</v>
      </c>
      <c r="E14" s="9">
        <v>0.25</v>
      </c>
      <c r="F14" s="9">
        <v>0.25694444444444398</v>
      </c>
      <c r="G14" s="7" t="s">
        <v>278</v>
      </c>
      <c r="H14" s="14" t="s">
        <v>68</v>
      </c>
      <c r="I14" s="15" t="s">
        <v>69</v>
      </c>
      <c r="J14" s="15" t="s">
        <v>70</v>
      </c>
    </row>
    <row r="15" spans="1:16" x14ac:dyDescent="0.3">
      <c r="A15" s="7" t="s">
        <v>261</v>
      </c>
      <c r="B15" s="10" t="s">
        <v>265</v>
      </c>
      <c r="C15" s="7" t="s">
        <v>258</v>
      </c>
      <c r="D15" s="12">
        <v>45395</v>
      </c>
      <c r="E15" s="9">
        <v>0.25</v>
      </c>
      <c r="F15" s="9">
        <v>0.25694444444444398</v>
      </c>
      <c r="G15" s="7" t="s">
        <v>278</v>
      </c>
      <c r="H15" s="14" t="s">
        <v>68</v>
      </c>
      <c r="I15" s="15" t="s">
        <v>69</v>
      </c>
      <c r="J15" s="15" t="s">
        <v>70</v>
      </c>
    </row>
    <row r="16" spans="1:16" x14ac:dyDescent="0.3">
      <c r="A16" s="7" t="s">
        <v>260</v>
      </c>
      <c r="B16" s="10" t="s">
        <v>257</v>
      </c>
      <c r="C16" s="7" t="s">
        <v>258</v>
      </c>
      <c r="D16" s="12">
        <v>45395</v>
      </c>
      <c r="E16" s="9">
        <v>0.25</v>
      </c>
      <c r="F16" s="9">
        <v>0.25694444444444398</v>
      </c>
      <c r="G16" s="7" t="s">
        <v>278</v>
      </c>
      <c r="H16" s="14" t="s">
        <v>68</v>
      </c>
      <c r="I16" s="15" t="s">
        <v>69</v>
      </c>
      <c r="J16" s="15" t="s">
        <v>70</v>
      </c>
    </row>
    <row r="17" spans="1:10" x14ac:dyDescent="0.3">
      <c r="A17" s="7" t="s">
        <v>262</v>
      </c>
      <c r="B17" s="10" t="s">
        <v>264</v>
      </c>
      <c r="C17" s="7" t="s">
        <v>258</v>
      </c>
      <c r="D17" s="12">
        <v>45395</v>
      </c>
      <c r="E17" s="9">
        <v>0.25</v>
      </c>
      <c r="F17" s="9">
        <v>0.25694444444444398</v>
      </c>
      <c r="G17" s="7" t="s">
        <v>278</v>
      </c>
      <c r="H17" s="14" t="s">
        <v>68</v>
      </c>
      <c r="I17" s="15" t="s">
        <v>69</v>
      </c>
      <c r="J17" s="15" t="s">
        <v>70</v>
      </c>
    </row>
    <row r="18" spans="1:10" x14ac:dyDescent="0.3">
      <c r="A18" s="7" t="s">
        <v>271</v>
      </c>
      <c r="B18" s="10" t="s">
        <v>272</v>
      </c>
      <c r="C18" s="7" t="s">
        <v>258</v>
      </c>
      <c r="D18" s="12">
        <v>45395</v>
      </c>
      <c r="E18" s="9">
        <v>0.25</v>
      </c>
      <c r="F18" s="9">
        <v>0.25694444444444398</v>
      </c>
      <c r="G18" s="7" t="s">
        <v>278</v>
      </c>
      <c r="H18" s="14" t="s">
        <v>68</v>
      </c>
      <c r="I18" s="15" t="s">
        <v>69</v>
      </c>
      <c r="J18" s="15" t="s">
        <v>70</v>
      </c>
    </row>
    <row r="19" spans="1:10" x14ac:dyDescent="0.3">
      <c r="A19" s="7" t="s">
        <v>269</v>
      </c>
      <c r="B19" s="10" t="s">
        <v>267</v>
      </c>
      <c r="C19" s="7" t="s">
        <v>258</v>
      </c>
      <c r="D19" s="12">
        <v>45395</v>
      </c>
      <c r="E19" s="9">
        <v>0.25</v>
      </c>
      <c r="F19" s="9">
        <v>0.25694444444444398</v>
      </c>
      <c r="G19" s="7" t="s">
        <v>278</v>
      </c>
      <c r="H19" s="14" t="s">
        <v>68</v>
      </c>
      <c r="I19" s="15" t="s">
        <v>69</v>
      </c>
      <c r="J19" s="15" t="s">
        <v>70</v>
      </c>
    </row>
    <row r="20" spans="1:10" x14ac:dyDescent="0.3">
      <c r="A20" s="7" t="s">
        <v>276</v>
      </c>
      <c r="B20" s="13" t="s">
        <v>277</v>
      </c>
      <c r="C20" s="7" t="s">
        <v>258</v>
      </c>
      <c r="D20" s="12">
        <v>45395</v>
      </c>
      <c r="E20" s="9">
        <v>0.25</v>
      </c>
      <c r="F20" s="9">
        <v>0.25694444444444398</v>
      </c>
      <c r="G20" s="7" t="s">
        <v>278</v>
      </c>
      <c r="H20" s="14" t="s">
        <v>68</v>
      </c>
      <c r="I20" s="15" t="s">
        <v>69</v>
      </c>
      <c r="J20" s="15" t="s">
        <v>70</v>
      </c>
    </row>
    <row r="21" spans="1:10" x14ac:dyDescent="0.3">
      <c r="A21" s="7" t="s">
        <v>259</v>
      </c>
      <c r="B21" s="10" t="s">
        <v>266</v>
      </c>
      <c r="C21" s="7" t="s">
        <v>258</v>
      </c>
      <c r="D21" s="12">
        <v>45395</v>
      </c>
      <c r="E21" s="9">
        <v>0.25</v>
      </c>
      <c r="F21" s="9">
        <v>0.25694444444444398</v>
      </c>
      <c r="G21" s="7" t="s">
        <v>278</v>
      </c>
      <c r="H21" s="10" t="s">
        <v>72</v>
      </c>
      <c r="I21" s="11" t="s">
        <v>73</v>
      </c>
      <c r="J21" s="11" t="s">
        <v>74</v>
      </c>
    </row>
    <row r="22" spans="1:10" x14ac:dyDescent="0.3">
      <c r="A22" s="7" t="s">
        <v>262</v>
      </c>
      <c r="B22" s="10" t="s">
        <v>264</v>
      </c>
      <c r="C22" s="7" t="s">
        <v>258</v>
      </c>
      <c r="D22" s="12">
        <v>45395</v>
      </c>
      <c r="E22" s="9">
        <v>0.25</v>
      </c>
      <c r="F22" s="9">
        <v>0.25694444444444398</v>
      </c>
      <c r="G22" s="7" t="s">
        <v>278</v>
      </c>
      <c r="H22" s="10" t="s">
        <v>72</v>
      </c>
      <c r="I22" s="11" t="s">
        <v>73</v>
      </c>
      <c r="J22" s="11" t="s">
        <v>74</v>
      </c>
    </row>
    <row r="23" spans="1:10" x14ac:dyDescent="0.3">
      <c r="A23" s="7" t="s">
        <v>261</v>
      </c>
      <c r="B23" s="10" t="s">
        <v>265</v>
      </c>
      <c r="C23" s="7" t="s">
        <v>258</v>
      </c>
      <c r="D23" s="12">
        <v>45395</v>
      </c>
      <c r="E23" s="9">
        <v>0.25</v>
      </c>
      <c r="F23" s="9">
        <v>0.25694444444444398</v>
      </c>
      <c r="G23" s="7" t="s">
        <v>278</v>
      </c>
      <c r="H23" s="10" t="s">
        <v>72</v>
      </c>
      <c r="I23" s="11" t="s">
        <v>73</v>
      </c>
      <c r="J23" s="11" t="s">
        <v>74</v>
      </c>
    </row>
    <row r="24" spans="1:10" x14ac:dyDescent="0.3">
      <c r="A24" s="7" t="s">
        <v>271</v>
      </c>
      <c r="B24" s="10" t="s">
        <v>272</v>
      </c>
      <c r="C24" s="7" t="s">
        <v>258</v>
      </c>
      <c r="D24" s="12">
        <v>45395</v>
      </c>
      <c r="E24" s="9">
        <v>0.25</v>
      </c>
      <c r="F24" s="9">
        <v>0.25694444444444398</v>
      </c>
      <c r="G24" s="7" t="s">
        <v>278</v>
      </c>
      <c r="H24" s="10" t="s">
        <v>72</v>
      </c>
      <c r="I24" s="11" t="s">
        <v>73</v>
      </c>
      <c r="J24" s="11" t="s">
        <v>74</v>
      </c>
    </row>
    <row r="25" spans="1:10" x14ac:dyDescent="0.3">
      <c r="A25" s="7" t="s">
        <v>260</v>
      </c>
      <c r="B25" s="10" t="s">
        <v>257</v>
      </c>
      <c r="C25" s="7" t="s">
        <v>258</v>
      </c>
      <c r="D25" s="12">
        <v>45395</v>
      </c>
      <c r="E25" s="9">
        <v>0.25</v>
      </c>
      <c r="F25" s="9">
        <v>0.25694444444444398</v>
      </c>
      <c r="G25" s="7" t="s">
        <v>278</v>
      </c>
      <c r="H25" s="10" t="s">
        <v>72</v>
      </c>
      <c r="I25" s="11" t="s">
        <v>73</v>
      </c>
      <c r="J25" s="11" t="s">
        <v>74</v>
      </c>
    </row>
    <row r="26" spans="1:10" x14ac:dyDescent="0.3">
      <c r="A26" s="7" t="s">
        <v>260</v>
      </c>
      <c r="B26" s="10" t="s">
        <v>257</v>
      </c>
      <c r="C26" s="7" t="s">
        <v>258</v>
      </c>
      <c r="D26" s="12">
        <v>45380</v>
      </c>
      <c r="E26" s="9">
        <v>0.25</v>
      </c>
      <c r="F26" s="9">
        <v>0.25694444444444398</v>
      </c>
      <c r="G26" s="10"/>
      <c r="H26" s="14" t="s">
        <v>16</v>
      </c>
      <c r="I26" s="15" t="s">
        <v>18</v>
      </c>
      <c r="J26" s="15" t="s">
        <v>19</v>
      </c>
    </row>
    <row r="27" spans="1:10" x14ac:dyDescent="0.3">
      <c r="A27" s="7" t="s">
        <v>259</v>
      </c>
      <c r="B27" s="10" t="s">
        <v>266</v>
      </c>
      <c r="C27" s="7" t="s">
        <v>258</v>
      </c>
      <c r="D27" s="12">
        <v>45380</v>
      </c>
      <c r="E27" s="9">
        <v>0.25</v>
      </c>
      <c r="F27" s="9">
        <v>0.25694444444444398</v>
      </c>
      <c r="G27" s="10"/>
      <c r="H27" s="14" t="s">
        <v>16</v>
      </c>
      <c r="I27" s="15" t="s">
        <v>18</v>
      </c>
      <c r="J27" s="15" t="s">
        <v>19</v>
      </c>
    </row>
    <row r="28" spans="1:10" x14ac:dyDescent="0.3">
      <c r="A28" s="7" t="s">
        <v>273</v>
      </c>
      <c r="B28" s="10" t="s">
        <v>275</v>
      </c>
      <c r="C28" s="7" t="s">
        <v>274</v>
      </c>
      <c r="D28" s="12">
        <v>45380</v>
      </c>
      <c r="E28" s="9">
        <v>0.25</v>
      </c>
      <c r="F28" s="9">
        <v>0.25694444444444398</v>
      </c>
      <c r="G28" s="10"/>
      <c r="H28" s="14" t="s">
        <v>16</v>
      </c>
      <c r="I28" s="15" t="s">
        <v>18</v>
      </c>
      <c r="J28" s="15" t="s">
        <v>19</v>
      </c>
    </row>
    <row r="29" spans="1:10" x14ac:dyDescent="0.3">
      <c r="A29" s="7" t="s">
        <v>261</v>
      </c>
      <c r="B29" s="10" t="s">
        <v>265</v>
      </c>
      <c r="C29" s="7" t="s">
        <v>258</v>
      </c>
      <c r="D29" s="12">
        <v>45380</v>
      </c>
      <c r="E29" s="9">
        <v>0.25</v>
      </c>
      <c r="F29" s="9">
        <v>0.25694444444444398</v>
      </c>
      <c r="G29" s="10"/>
      <c r="H29" s="14" t="s">
        <v>16</v>
      </c>
      <c r="I29" s="15" t="s">
        <v>18</v>
      </c>
      <c r="J29" s="15" t="s">
        <v>19</v>
      </c>
    </row>
    <row r="30" spans="1:10" ht="12.6" customHeight="1" x14ac:dyDescent="0.3">
      <c r="A30" s="7" t="s">
        <v>281</v>
      </c>
      <c r="B30" s="16" t="s">
        <v>280</v>
      </c>
      <c r="C30" s="7" t="s">
        <v>274</v>
      </c>
      <c r="D30" s="12">
        <v>45380</v>
      </c>
      <c r="E30" s="9">
        <v>0.25</v>
      </c>
      <c r="F30" s="9">
        <v>0.25694444444444398</v>
      </c>
      <c r="G30" s="10"/>
      <c r="H30" s="14" t="s">
        <v>16</v>
      </c>
      <c r="I30" s="15" t="s">
        <v>18</v>
      </c>
      <c r="J30" s="15" t="s">
        <v>19</v>
      </c>
    </row>
    <row r="31" spans="1:10" x14ac:dyDescent="0.3">
      <c r="A31" s="7" t="s">
        <v>271</v>
      </c>
      <c r="B31" s="10" t="s">
        <v>272</v>
      </c>
      <c r="C31" s="7" t="s">
        <v>258</v>
      </c>
      <c r="D31" s="12">
        <v>45380</v>
      </c>
      <c r="E31" s="9">
        <v>0.25</v>
      </c>
      <c r="F31" s="9">
        <v>0.25694444444444398</v>
      </c>
      <c r="G31" s="10"/>
      <c r="H31" s="14" t="s">
        <v>16</v>
      </c>
      <c r="I31" s="15" t="s">
        <v>18</v>
      </c>
      <c r="J31" s="15" t="s">
        <v>19</v>
      </c>
    </row>
    <row r="32" spans="1:10" x14ac:dyDescent="0.3">
      <c r="A32" s="7" t="s">
        <v>269</v>
      </c>
      <c r="B32" s="10" t="s">
        <v>267</v>
      </c>
      <c r="C32" s="7" t="s">
        <v>258</v>
      </c>
      <c r="D32" s="12">
        <v>45380</v>
      </c>
      <c r="E32" s="9">
        <v>0.25</v>
      </c>
      <c r="F32" s="9">
        <v>0.25694444444444398</v>
      </c>
      <c r="G32" s="10"/>
      <c r="H32" s="14" t="s">
        <v>16</v>
      </c>
      <c r="I32" s="15" t="s">
        <v>18</v>
      </c>
      <c r="J32" s="15" t="s">
        <v>19</v>
      </c>
    </row>
    <row r="33" spans="1:15" x14ac:dyDescent="0.3">
      <c r="A33" s="7" t="s">
        <v>260</v>
      </c>
      <c r="B33" s="10" t="s">
        <v>257</v>
      </c>
      <c r="C33" s="7" t="s">
        <v>258</v>
      </c>
      <c r="D33" s="1">
        <v>45380</v>
      </c>
      <c r="E33" s="17">
        <v>0.24930555555555556</v>
      </c>
      <c r="F33" s="17">
        <v>0.25624999999999998</v>
      </c>
      <c r="H33" t="s">
        <v>76</v>
      </c>
      <c r="I33" s="2" t="s">
        <v>77</v>
      </c>
      <c r="J33" s="2" t="s">
        <v>78</v>
      </c>
    </row>
    <row r="34" spans="1:15" x14ac:dyDescent="0.3">
      <c r="A34" s="7" t="s">
        <v>286</v>
      </c>
      <c r="B34" s="10" t="s">
        <v>285</v>
      </c>
      <c r="C34" s="7" t="s">
        <v>258</v>
      </c>
      <c r="D34" s="1">
        <v>45380</v>
      </c>
      <c r="E34" s="17">
        <v>0.24930555555555556</v>
      </c>
      <c r="F34" s="17">
        <v>0.25624999999999998</v>
      </c>
      <c r="G34" t="s">
        <v>287</v>
      </c>
      <c r="H34" t="s">
        <v>76</v>
      </c>
      <c r="I34" s="2" t="s">
        <v>77</v>
      </c>
      <c r="J34" s="2" t="s">
        <v>78</v>
      </c>
    </row>
    <row r="35" spans="1:15" x14ac:dyDescent="0.3">
      <c r="A35" s="7" t="s">
        <v>271</v>
      </c>
      <c r="B35" s="10" t="s">
        <v>272</v>
      </c>
      <c r="C35" s="7" t="s">
        <v>258</v>
      </c>
      <c r="D35" s="1">
        <v>45380</v>
      </c>
      <c r="E35" s="17">
        <v>0.249305555555556</v>
      </c>
      <c r="F35" s="17">
        <v>0.25624999999999998</v>
      </c>
      <c r="H35" t="s">
        <v>76</v>
      </c>
      <c r="I35" s="2" t="s">
        <v>77</v>
      </c>
      <c r="J35" s="2" t="s">
        <v>78</v>
      </c>
    </row>
    <row r="36" spans="1:15" x14ac:dyDescent="0.3">
      <c r="A36" s="7" t="s">
        <v>262</v>
      </c>
      <c r="B36" s="10" t="s">
        <v>264</v>
      </c>
      <c r="C36" s="7" t="s">
        <v>258</v>
      </c>
      <c r="D36" s="1">
        <v>45380</v>
      </c>
      <c r="E36" s="17">
        <v>0.249305555555556</v>
      </c>
      <c r="F36" s="17">
        <v>0.25624999999999998</v>
      </c>
      <c r="H36" t="s">
        <v>76</v>
      </c>
      <c r="I36" s="2" t="s">
        <v>77</v>
      </c>
      <c r="J36" s="2" t="s">
        <v>78</v>
      </c>
    </row>
    <row r="37" spans="1:15" ht="43.2" x14ac:dyDescent="0.3">
      <c r="A37" s="18" t="s">
        <v>284</v>
      </c>
      <c r="B37" s="6" t="s">
        <v>283</v>
      </c>
      <c r="C37" s="7" t="s">
        <v>274</v>
      </c>
      <c r="D37" s="1">
        <v>45380</v>
      </c>
      <c r="E37" s="17">
        <v>0.249305555555556</v>
      </c>
      <c r="F37" s="17">
        <v>0.25624999999999998</v>
      </c>
      <c r="G37" t="s">
        <v>282</v>
      </c>
      <c r="H37" t="s">
        <v>76</v>
      </c>
      <c r="I37" s="2" t="s">
        <v>77</v>
      </c>
      <c r="J37" s="2" t="s">
        <v>78</v>
      </c>
    </row>
    <row r="38" spans="1:15" x14ac:dyDescent="0.3">
      <c r="A38" s="7" t="s">
        <v>269</v>
      </c>
      <c r="B38" s="10" t="s">
        <v>267</v>
      </c>
      <c r="C38" s="7" t="s">
        <v>258</v>
      </c>
      <c r="D38" s="1">
        <v>45380</v>
      </c>
      <c r="E38" s="17">
        <v>0.249305555555556</v>
      </c>
      <c r="F38" s="17">
        <v>0.25624999999999998</v>
      </c>
      <c r="H38" t="s">
        <v>76</v>
      </c>
      <c r="I38" s="2" t="s">
        <v>77</v>
      </c>
      <c r="J38" s="2" t="s">
        <v>78</v>
      </c>
    </row>
    <row r="39" spans="1:15" x14ac:dyDescent="0.3">
      <c r="A39" s="7" t="s">
        <v>260</v>
      </c>
      <c r="B39" s="10" t="s">
        <v>257</v>
      </c>
      <c r="C39" s="19" t="s">
        <v>258</v>
      </c>
      <c r="D39" s="1">
        <v>45380</v>
      </c>
      <c r="E39" s="9">
        <v>0.25</v>
      </c>
      <c r="F39" s="9">
        <v>0.25694444444444398</v>
      </c>
      <c r="H39" s="4" t="s">
        <v>80</v>
      </c>
      <c r="I39" s="5" t="s">
        <v>81</v>
      </c>
      <c r="J39" s="5" t="s">
        <v>82</v>
      </c>
    </row>
    <row r="40" spans="1:15" x14ac:dyDescent="0.3">
      <c r="A40" s="7" t="s">
        <v>286</v>
      </c>
      <c r="B40" s="10" t="s">
        <v>285</v>
      </c>
      <c r="C40" s="7" t="s">
        <v>258</v>
      </c>
      <c r="D40" s="1">
        <v>45380</v>
      </c>
      <c r="E40" s="9">
        <v>0.25</v>
      </c>
      <c r="F40" s="9">
        <v>0.25694444444444398</v>
      </c>
      <c r="H40" s="4" t="s">
        <v>80</v>
      </c>
      <c r="I40" s="5" t="s">
        <v>81</v>
      </c>
      <c r="J40" s="5" t="s">
        <v>82</v>
      </c>
    </row>
    <row r="41" spans="1:15" x14ac:dyDescent="0.3">
      <c r="A41" s="7" t="s">
        <v>262</v>
      </c>
      <c r="B41" t="s">
        <v>264</v>
      </c>
      <c r="C41" s="7" t="s">
        <v>258</v>
      </c>
      <c r="D41" s="1">
        <v>45380</v>
      </c>
      <c r="E41" s="9">
        <v>0.25</v>
      </c>
      <c r="F41" s="9">
        <v>0.25694444444444398</v>
      </c>
      <c r="H41" s="4" t="s">
        <v>80</v>
      </c>
      <c r="I41" s="5" t="s">
        <v>81</v>
      </c>
      <c r="J41" s="5" t="s">
        <v>82</v>
      </c>
    </row>
    <row r="42" spans="1:15" x14ac:dyDescent="0.3">
      <c r="A42" s="7" t="s">
        <v>271</v>
      </c>
      <c r="B42" s="10" t="s">
        <v>272</v>
      </c>
      <c r="C42" s="7" t="s">
        <v>258</v>
      </c>
      <c r="D42" s="1">
        <v>45380</v>
      </c>
      <c r="E42" s="9">
        <v>0.25</v>
      </c>
      <c r="F42" s="9">
        <v>0.25694444444444398</v>
      </c>
      <c r="H42" s="4" t="s">
        <v>80</v>
      </c>
      <c r="I42" s="5" t="s">
        <v>81</v>
      </c>
      <c r="J42" s="5" t="s">
        <v>82</v>
      </c>
    </row>
    <row r="43" spans="1:15" x14ac:dyDescent="0.3">
      <c r="A43" s="7" t="s">
        <v>260</v>
      </c>
      <c r="B43" s="10" t="s">
        <v>257</v>
      </c>
      <c r="C43" s="7" t="s">
        <v>258</v>
      </c>
      <c r="D43" s="1">
        <v>45380</v>
      </c>
      <c r="E43" s="9">
        <v>0.25</v>
      </c>
      <c r="F43" s="9">
        <v>0.25694444444444398</v>
      </c>
      <c r="H43" t="s">
        <v>84</v>
      </c>
      <c r="I43" s="2" t="s">
        <v>85</v>
      </c>
      <c r="J43" s="2" t="s">
        <v>86</v>
      </c>
      <c r="K43">
        <v>1</v>
      </c>
      <c r="L43">
        <v>1</v>
      </c>
      <c r="M43">
        <v>1</v>
      </c>
      <c r="N43">
        <v>1</v>
      </c>
    </row>
    <row r="44" spans="1:15" x14ac:dyDescent="0.3">
      <c r="A44" s="7" t="s">
        <v>262</v>
      </c>
      <c r="B44" s="10" t="s">
        <v>264</v>
      </c>
      <c r="C44" s="7" t="s">
        <v>258</v>
      </c>
      <c r="D44" s="1">
        <v>45380</v>
      </c>
      <c r="E44" s="9">
        <v>0.25</v>
      </c>
      <c r="F44" s="9">
        <v>0.25694444444444398</v>
      </c>
      <c r="H44" t="s">
        <v>84</v>
      </c>
      <c r="I44" s="2" t="s">
        <v>85</v>
      </c>
      <c r="J44" s="2" t="s">
        <v>86</v>
      </c>
      <c r="K44">
        <v>1</v>
      </c>
      <c r="L44">
        <v>1</v>
      </c>
      <c r="M44">
        <v>1</v>
      </c>
      <c r="N44">
        <v>1</v>
      </c>
    </row>
    <row r="45" spans="1:15" x14ac:dyDescent="0.3">
      <c r="A45" s="7" t="s">
        <v>286</v>
      </c>
      <c r="B45" s="10" t="s">
        <v>285</v>
      </c>
      <c r="C45" s="7" t="s">
        <v>258</v>
      </c>
      <c r="D45" s="1">
        <v>45380</v>
      </c>
      <c r="E45" s="9">
        <v>0.25</v>
      </c>
      <c r="F45" s="9">
        <v>0.25694444444444398</v>
      </c>
      <c r="H45" t="s">
        <v>84</v>
      </c>
      <c r="I45" s="2" t="s">
        <v>85</v>
      </c>
      <c r="J45" s="2" t="s">
        <v>86</v>
      </c>
      <c r="K45">
        <v>1</v>
      </c>
      <c r="L45">
        <v>1</v>
      </c>
      <c r="M45">
        <v>1</v>
      </c>
      <c r="N45">
        <v>1</v>
      </c>
    </row>
    <row r="46" spans="1:15" x14ac:dyDescent="0.3">
      <c r="A46" s="7" t="s">
        <v>269</v>
      </c>
      <c r="B46" s="10" t="s">
        <v>267</v>
      </c>
      <c r="C46" s="7" t="s">
        <v>258</v>
      </c>
      <c r="D46" s="1">
        <v>45380</v>
      </c>
      <c r="E46" s="9">
        <v>0.25</v>
      </c>
      <c r="F46" s="9">
        <v>0.25694444444444398</v>
      </c>
      <c r="H46" t="s">
        <v>84</v>
      </c>
      <c r="I46" s="2" t="s">
        <v>85</v>
      </c>
      <c r="J46" s="2" t="s">
        <v>86</v>
      </c>
      <c r="K46">
        <v>1</v>
      </c>
      <c r="L46">
        <v>1</v>
      </c>
      <c r="M46">
        <v>1</v>
      </c>
      <c r="N46">
        <v>1</v>
      </c>
    </row>
    <row r="47" spans="1:15" x14ac:dyDescent="0.3">
      <c r="A47" s="7" t="s">
        <v>262</v>
      </c>
      <c r="B47" s="10" t="s">
        <v>264</v>
      </c>
      <c r="C47" t="s">
        <v>258</v>
      </c>
      <c r="D47" s="1">
        <v>45380</v>
      </c>
      <c r="E47" s="9">
        <v>0.25</v>
      </c>
      <c r="F47" s="9">
        <v>0.25694444444444398</v>
      </c>
      <c r="G47" t="s">
        <v>292</v>
      </c>
      <c r="H47" s="4" t="s">
        <v>88</v>
      </c>
      <c r="I47" s="5" t="s">
        <v>85</v>
      </c>
      <c r="J47" s="5" t="s">
        <v>86</v>
      </c>
      <c r="K47">
        <v>1</v>
      </c>
      <c r="L47">
        <v>1</v>
      </c>
      <c r="M47">
        <v>1</v>
      </c>
      <c r="N47">
        <v>1</v>
      </c>
    </row>
    <row r="48" spans="1:15" x14ac:dyDescent="0.3">
      <c r="A48" s="7" t="s">
        <v>271</v>
      </c>
      <c r="B48" s="10" t="s">
        <v>272</v>
      </c>
      <c r="C48" s="7" t="s">
        <v>258</v>
      </c>
      <c r="D48" s="1">
        <v>45380</v>
      </c>
      <c r="E48" s="9">
        <v>0.25</v>
      </c>
      <c r="F48" s="9">
        <v>0.25694444444444398</v>
      </c>
      <c r="H48" s="4" t="s">
        <v>88</v>
      </c>
      <c r="I48" s="5" t="s">
        <v>85</v>
      </c>
      <c r="J48" s="5" t="s">
        <v>86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 x14ac:dyDescent="0.3">
      <c r="A49" s="7" t="s">
        <v>259</v>
      </c>
      <c r="B49" s="10" t="s">
        <v>266</v>
      </c>
      <c r="C49" s="7" t="s">
        <v>258</v>
      </c>
      <c r="D49" s="1">
        <v>45393</v>
      </c>
      <c r="E49" s="9">
        <v>0.25</v>
      </c>
      <c r="F49" s="9">
        <v>0.25694444444444398</v>
      </c>
      <c r="H49" t="s">
        <v>93</v>
      </c>
      <c r="I49" s="2" t="s">
        <v>94</v>
      </c>
      <c r="J49" s="2" t="s">
        <v>95</v>
      </c>
      <c r="K49">
        <v>1</v>
      </c>
      <c r="L49">
        <v>1</v>
      </c>
      <c r="M49">
        <v>1</v>
      </c>
      <c r="N49">
        <v>5</v>
      </c>
      <c r="O49">
        <v>4</v>
      </c>
    </row>
    <row r="50" spans="1:15" x14ac:dyDescent="0.3">
      <c r="A50" s="7" t="s">
        <v>260</v>
      </c>
      <c r="B50" s="10" t="s">
        <v>257</v>
      </c>
      <c r="C50" s="7" t="s">
        <v>258</v>
      </c>
      <c r="D50" s="1">
        <v>45393</v>
      </c>
      <c r="E50" s="9">
        <v>0.25</v>
      </c>
      <c r="F50" s="9">
        <v>0.25694444444444398</v>
      </c>
      <c r="H50" t="s">
        <v>93</v>
      </c>
      <c r="I50" s="2" t="s">
        <v>94</v>
      </c>
      <c r="J50" s="2" t="s">
        <v>95</v>
      </c>
      <c r="K50">
        <v>1</v>
      </c>
      <c r="L50">
        <v>1</v>
      </c>
      <c r="M50">
        <v>1</v>
      </c>
      <c r="N50">
        <v>5</v>
      </c>
      <c r="O50">
        <v>4</v>
      </c>
    </row>
    <row r="51" spans="1:15" x14ac:dyDescent="0.3">
      <c r="A51" s="7" t="s">
        <v>261</v>
      </c>
      <c r="B51" s="10" t="s">
        <v>265</v>
      </c>
      <c r="C51" s="7" t="s">
        <v>258</v>
      </c>
      <c r="D51" s="1">
        <v>45393</v>
      </c>
      <c r="E51" s="9">
        <v>0.25</v>
      </c>
      <c r="F51" s="9">
        <v>0.25694444444444398</v>
      </c>
      <c r="H51" t="s">
        <v>93</v>
      </c>
      <c r="I51" s="2" t="s">
        <v>94</v>
      </c>
      <c r="J51" s="2" t="s">
        <v>95</v>
      </c>
      <c r="K51">
        <v>1</v>
      </c>
      <c r="L51">
        <v>1</v>
      </c>
      <c r="M51">
        <v>1</v>
      </c>
      <c r="N51">
        <v>5</v>
      </c>
      <c r="O51">
        <v>4</v>
      </c>
    </row>
    <row r="52" spans="1:15" x14ac:dyDescent="0.3">
      <c r="A52" s="7" t="s">
        <v>286</v>
      </c>
      <c r="B52" t="s">
        <v>285</v>
      </c>
      <c r="C52" s="7" t="s">
        <v>258</v>
      </c>
      <c r="D52" s="1">
        <v>45393</v>
      </c>
      <c r="E52" s="9">
        <v>0.25</v>
      </c>
      <c r="F52" s="9">
        <v>0.25694444444444398</v>
      </c>
      <c r="H52" t="s">
        <v>93</v>
      </c>
      <c r="I52" s="2" t="s">
        <v>94</v>
      </c>
      <c r="J52" s="2" t="s">
        <v>95</v>
      </c>
      <c r="K52">
        <v>1</v>
      </c>
      <c r="L52">
        <v>1</v>
      </c>
      <c r="M52">
        <v>1</v>
      </c>
      <c r="N52">
        <v>5</v>
      </c>
      <c r="O52">
        <v>4</v>
      </c>
    </row>
    <row r="53" spans="1:15" x14ac:dyDescent="0.3">
      <c r="A53" s="7" t="s">
        <v>262</v>
      </c>
      <c r="B53" s="10" t="s">
        <v>264</v>
      </c>
      <c r="C53" s="7" t="s">
        <v>258</v>
      </c>
      <c r="D53" s="1">
        <v>45393</v>
      </c>
      <c r="E53" s="9">
        <v>0.25</v>
      </c>
      <c r="F53" s="9">
        <v>0.25694444444444398</v>
      </c>
      <c r="H53" t="s">
        <v>93</v>
      </c>
      <c r="I53" s="2" t="s">
        <v>94</v>
      </c>
      <c r="J53" s="2" t="s">
        <v>95</v>
      </c>
      <c r="K53">
        <v>1</v>
      </c>
      <c r="L53">
        <v>1</v>
      </c>
      <c r="M53">
        <v>1</v>
      </c>
      <c r="N53">
        <v>5</v>
      </c>
      <c r="O53">
        <v>4</v>
      </c>
    </row>
    <row r="54" spans="1:15" x14ac:dyDescent="0.3">
      <c r="A54" s="7" t="s">
        <v>259</v>
      </c>
      <c r="B54" s="10" t="s">
        <v>266</v>
      </c>
      <c r="C54" s="7" t="s">
        <v>258</v>
      </c>
      <c r="D54" s="1">
        <v>45393</v>
      </c>
      <c r="E54" s="9">
        <v>0.25</v>
      </c>
      <c r="F54" s="9">
        <v>0.25694444444444398</v>
      </c>
      <c r="H54" s="4" t="s">
        <v>20</v>
      </c>
      <c r="I54" s="5" t="s">
        <v>22</v>
      </c>
      <c r="J54" s="5" t="s">
        <v>23</v>
      </c>
      <c r="K54">
        <v>1</v>
      </c>
      <c r="L54">
        <v>1</v>
      </c>
      <c r="M54">
        <v>1</v>
      </c>
      <c r="N54">
        <v>4</v>
      </c>
      <c r="O54">
        <v>4</v>
      </c>
    </row>
    <row r="55" spans="1:15" x14ac:dyDescent="0.3">
      <c r="A55" s="7" t="s">
        <v>286</v>
      </c>
      <c r="B55" s="10" t="s">
        <v>285</v>
      </c>
      <c r="C55" s="7" t="s">
        <v>258</v>
      </c>
      <c r="D55" s="1">
        <v>45393</v>
      </c>
      <c r="E55" s="9">
        <v>0.25</v>
      </c>
      <c r="F55" s="9">
        <v>0.25694444444444398</v>
      </c>
      <c r="H55" s="4" t="s">
        <v>20</v>
      </c>
      <c r="I55" s="5" t="s">
        <v>22</v>
      </c>
      <c r="J55" s="5" t="s">
        <v>23</v>
      </c>
      <c r="K55">
        <v>1</v>
      </c>
      <c r="L55">
        <v>1</v>
      </c>
      <c r="M55">
        <v>1</v>
      </c>
      <c r="N55">
        <v>4</v>
      </c>
      <c r="O55">
        <v>4</v>
      </c>
    </row>
    <row r="56" spans="1:15" x14ac:dyDescent="0.3">
      <c r="A56" s="7" t="s">
        <v>260</v>
      </c>
      <c r="B56" t="s">
        <v>257</v>
      </c>
      <c r="C56" s="7" t="s">
        <v>258</v>
      </c>
      <c r="D56" s="1">
        <v>45393</v>
      </c>
      <c r="E56" s="9">
        <v>0.25</v>
      </c>
      <c r="F56" s="9">
        <v>0.25694444444444398</v>
      </c>
      <c r="H56" s="4" t="s">
        <v>20</v>
      </c>
      <c r="I56" s="5" t="s">
        <v>22</v>
      </c>
      <c r="J56" s="5" t="s">
        <v>23</v>
      </c>
      <c r="K56">
        <v>1</v>
      </c>
      <c r="L56">
        <v>1</v>
      </c>
      <c r="M56">
        <v>1</v>
      </c>
      <c r="N56">
        <v>4</v>
      </c>
      <c r="O56">
        <v>4</v>
      </c>
    </row>
    <row r="57" spans="1:15" x14ac:dyDescent="0.3">
      <c r="A57" s="7" t="s">
        <v>261</v>
      </c>
      <c r="B57" t="s">
        <v>265</v>
      </c>
      <c r="C57" s="7" t="s">
        <v>258</v>
      </c>
      <c r="D57" s="1">
        <v>45393</v>
      </c>
      <c r="E57" s="9">
        <v>0.25</v>
      </c>
      <c r="F57" s="9">
        <v>0.25694444444444398</v>
      </c>
      <c r="H57" s="4" t="s">
        <v>20</v>
      </c>
      <c r="I57" s="5" t="s">
        <v>22</v>
      </c>
      <c r="J57" s="5" t="s">
        <v>23</v>
      </c>
      <c r="K57">
        <v>1</v>
      </c>
      <c r="L57">
        <v>1</v>
      </c>
      <c r="M57">
        <v>1</v>
      </c>
      <c r="N57">
        <v>4</v>
      </c>
      <c r="O57">
        <v>4</v>
      </c>
    </row>
    <row r="58" spans="1:15" x14ac:dyDescent="0.3">
      <c r="A58" s="7" t="s">
        <v>262</v>
      </c>
      <c r="B58" t="s">
        <v>264</v>
      </c>
      <c r="C58" s="7" t="s">
        <v>258</v>
      </c>
      <c r="D58" s="1">
        <v>45393</v>
      </c>
      <c r="E58" s="9">
        <v>0.25</v>
      </c>
      <c r="F58" s="9">
        <v>0.25694444444444398</v>
      </c>
      <c r="H58" s="4" t="s">
        <v>20</v>
      </c>
      <c r="I58" s="5" t="s">
        <v>22</v>
      </c>
      <c r="J58" s="5" t="s">
        <v>23</v>
      </c>
      <c r="K58">
        <v>1</v>
      </c>
      <c r="L58">
        <v>1</v>
      </c>
      <c r="M58">
        <v>1</v>
      </c>
      <c r="N58">
        <v>4</v>
      </c>
      <c r="O58">
        <v>4</v>
      </c>
    </row>
    <row r="59" spans="1:15" x14ac:dyDescent="0.3">
      <c r="A59" s="7" t="s">
        <v>281</v>
      </c>
      <c r="B59" t="s">
        <v>280</v>
      </c>
      <c r="C59" s="7" t="s">
        <v>274</v>
      </c>
      <c r="D59" s="1">
        <v>45393</v>
      </c>
      <c r="E59" s="9">
        <v>0.25</v>
      </c>
      <c r="F59" s="9">
        <v>0.25694444444444398</v>
      </c>
      <c r="H59" s="4" t="s">
        <v>20</v>
      </c>
      <c r="I59" s="5" t="s">
        <v>22</v>
      </c>
      <c r="J59" s="5" t="s">
        <v>23</v>
      </c>
      <c r="K59">
        <v>1</v>
      </c>
      <c r="L59">
        <v>1</v>
      </c>
      <c r="M59">
        <v>1</v>
      </c>
      <c r="N59">
        <v>4</v>
      </c>
      <c r="O59">
        <v>4</v>
      </c>
    </row>
    <row r="60" spans="1:15" x14ac:dyDescent="0.3">
      <c r="A60" s="7" t="s">
        <v>284</v>
      </c>
      <c r="B60" t="s">
        <v>283</v>
      </c>
      <c r="C60" s="7" t="s">
        <v>274</v>
      </c>
      <c r="D60" s="1">
        <v>45393</v>
      </c>
      <c r="E60" s="9">
        <v>0.25</v>
      </c>
      <c r="F60" s="9">
        <v>0.25694444444444398</v>
      </c>
      <c r="H60" s="4" t="s">
        <v>20</v>
      </c>
      <c r="I60" s="5" t="s">
        <v>22</v>
      </c>
      <c r="J60" s="5" t="s">
        <v>23</v>
      </c>
      <c r="K60">
        <v>1</v>
      </c>
      <c r="L60">
        <v>1</v>
      </c>
      <c r="M60">
        <v>1</v>
      </c>
      <c r="N60">
        <v>4</v>
      </c>
      <c r="O60">
        <v>4</v>
      </c>
    </row>
    <row r="61" spans="1:15" x14ac:dyDescent="0.3">
      <c r="A61" s="7" t="s">
        <v>286</v>
      </c>
      <c r="B61" t="s">
        <v>285</v>
      </c>
      <c r="C61" s="7" t="s">
        <v>258</v>
      </c>
      <c r="D61" s="1">
        <v>45393</v>
      </c>
      <c r="E61" s="9">
        <v>0.25</v>
      </c>
      <c r="F61" s="9">
        <v>0.25694444444444398</v>
      </c>
      <c r="G61" t="s">
        <v>293</v>
      </c>
      <c r="H61" t="s">
        <v>96</v>
      </c>
      <c r="I61" s="2" t="s">
        <v>99</v>
      </c>
      <c r="J61" s="2" t="s">
        <v>100</v>
      </c>
      <c r="K61">
        <v>1</v>
      </c>
      <c r="L61" t="s">
        <v>294</v>
      </c>
      <c r="M61">
        <v>1</v>
      </c>
      <c r="N61">
        <v>1</v>
      </c>
      <c r="O61">
        <v>5</v>
      </c>
    </row>
    <row r="62" spans="1:15" x14ac:dyDescent="0.3">
      <c r="A62" s="7" t="s">
        <v>259</v>
      </c>
      <c r="B62" t="s">
        <v>266</v>
      </c>
      <c r="C62" s="7" t="s">
        <v>258</v>
      </c>
      <c r="D62" s="1">
        <v>45393</v>
      </c>
      <c r="E62" s="9">
        <v>0.25</v>
      </c>
      <c r="F62" s="9">
        <v>0.25694444444444398</v>
      </c>
      <c r="G62" t="s">
        <v>293</v>
      </c>
      <c r="H62" t="s">
        <v>96</v>
      </c>
      <c r="I62" s="2" t="s">
        <v>99</v>
      </c>
      <c r="J62" s="2" t="s">
        <v>100</v>
      </c>
      <c r="K62">
        <v>1</v>
      </c>
      <c r="L62" t="s">
        <v>294</v>
      </c>
      <c r="M62">
        <v>1</v>
      </c>
      <c r="N62">
        <v>1</v>
      </c>
      <c r="O62">
        <v>5</v>
      </c>
    </row>
    <row r="63" spans="1:15" x14ac:dyDescent="0.3">
      <c r="A63" s="7" t="s">
        <v>262</v>
      </c>
      <c r="B63" t="s">
        <v>264</v>
      </c>
      <c r="C63" s="7" t="s">
        <v>258</v>
      </c>
      <c r="D63" s="1">
        <v>45393</v>
      </c>
      <c r="E63" s="9">
        <v>0.25</v>
      </c>
      <c r="F63" s="9">
        <v>0.25694444444444398</v>
      </c>
      <c r="G63" t="s">
        <v>293</v>
      </c>
      <c r="H63" t="s">
        <v>96</v>
      </c>
      <c r="I63" s="2" t="s">
        <v>99</v>
      </c>
      <c r="J63" s="2" t="s">
        <v>100</v>
      </c>
      <c r="K63">
        <v>1</v>
      </c>
      <c r="L63" t="s">
        <v>294</v>
      </c>
      <c r="M63">
        <v>1</v>
      </c>
      <c r="N63">
        <v>1</v>
      </c>
      <c r="O63">
        <v>5</v>
      </c>
    </row>
    <row r="64" spans="1:15" x14ac:dyDescent="0.3">
      <c r="A64" s="7" t="s">
        <v>260</v>
      </c>
      <c r="B64" t="s">
        <v>257</v>
      </c>
      <c r="C64" s="7" t="s">
        <v>258</v>
      </c>
      <c r="D64" s="1">
        <v>45393</v>
      </c>
      <c r="E64" s="9">
        <v>0.25</v>
      </c>
      <c r="F64" s="9">
        <v>0.25694444444444398</v>
      </c>
      <c r="G64" t="s">
        <v>293</v>
      </c>
      <c r="H64" t="s">
        <v>96</v>
      </c>
      <c r="I64" s="2" t="s">
        <v>99</v>
      </c>
      <c r="J64" s="2" t="s">
        <v>100</v>
      </c>
      <c r="K64">
        <v>1</v>
      </c>
      <c r="L64" t="s">
        <v>294</v>
      </c>
      <c r="M64">
        <v>1</v>
      </c>
      <c r="N64">
        <v>1</v>
      </c>
      <c r="O64">
        <v>5</v>
      </c>
    </row>
    <row r="65" spans="1:16" x14ac:dyDescent="0.3">
      <c r="A65" s="7" t="s">
        <v>259</v>
      </c>
      <c r="B65" t="s">
        <v>266</v>
      </c>
      <c r="C65" s="7" t="s">
        <v>258</v>
      </c>
      <c r="D65" s="1">
        <v>45393</v>
      </c>
      <c r="E65" s="9">
        <v>0.25</v>
      </c>
      <c r="F65" s="9">
        <v>0.25694444444444398</v>
      </c>
      <c r="H65" s="4" t="s">
        <v>102</v>
      </c>
      <c r="I65" s="5" t="s">
        <v>103</v>
      </c>
      <c r="J65" s="5" t="s">
        <v>104</v>
      </c>
      <c r="K65">
        <v>1</v>
      </c>
      <c r="L65">
        <v>1</v>
      </c>
      <c r="M65">
        <v>1</v>
      </c>
      <c r="N65">
        <v>2</v>
      </c>
      <c r="O65">
        <v>5</v>
      </c>
    </row>
    <row r="66" spans="1:16" x14ac:dyDescent="0.3">
      <c r="A66" s="7" t="s">
        <v>286</v>
      </c>
      <c r="B66" t="s">
        <v>285</v>
      </c>
      <c r="C66" s="7" t="s">
        <v>258</v>
      </c>
      <c r="D66" s="1">
        <v>45393</v>
      </c>
      <c r="E66" s="9">
        <v>0.25</v>
      </c>
      <c r="F66" s="9">
        <v>0.25694444444444398</v>
      </c>
      <c r="H66" s="4" t="s">
        <v>102</v>
      </c>
      <c r="I66" s="5" t="s">
        <v>103</v>
      </c>
      <c r="J66" s="5" t="s">
        <v>104</v>
      </c>
      <c r="K66">
        <v>1</v>
      </c>
      <c r="L66">
        <v>1</v>
      </c>
      <c r="M66">
        <v>1</v>
      </c>
      <c r="N66">
        <v>2</v>
      </c>
      <c r="O66">
        <v>5</v>
      </c>
    </row>
    <row r="67" spans="1:16" x14ac:dyDescent="0.3">
      <c r="A67" s="7" t="s">
        <v>262</v>
      </c>
      <c r="B67" t="s">
        <v>264</v>
      </c>
      <c r="C67" s="7" t="s">
        <v>258</v>
      </c>
      <c r="D67" s="1">
        <v>45393</v>
      </c>
      <c r="E67" s="9">
        <v>0.25</v>
      </c>
      <c r="F67" s="9">
        <v>0.25694444444444398</v>
      </c>
      <c r="H67" s="4" t="s">
        <v>102</v>
      </c>
      <c r="I67" s="5" t="s">
        <v>103</v>
      </c>
      <c r="J67" s="5" t="s">
        <v>104</v>
      </c>
      <c r="K67">
        <v>1</v>
      </c>
      <c r="L67">
        <v>1</v>
      </c>
      <c r="M67">
        <v>1</v>
      </c>
      <c r="N67">
        <v>2</v>
      </c>
      <c r="O67">
        <v>5</v>
      </c>
    </row>
    <row r="68" spans="1:16" x14ac:dyDescent="0.3">
      <c r="A68" s="7" t="s">
        <v>286</v>
      </c>
      <c r="B68" t="s">
        <v>285</v>
      </c>
      <c r="C68" s="7" t="s">
        <v>258</v>
      </c>
      <c r="D68" s="1">
        <v>45379</v>
      </c>
      <c r="E68" s="9">
        <v>0.25</v>
      </c>
      <c r="F68" s="9">
        <v>0.25694444444444398</v>
      </c>
      <c r="G68" t="s">
        <v>295</v>
      </c>
      <c r="H68" t="s">
        <v>106</v>
      </c>
      <c r="I68" s="2" t="s">
        <v>107</v>
      </c>
      <c r="J68" s="2" t="s">
        <v>108</v>
      </c>
      <c r="K68">
        <v>1</v>
      </c>
      <c r="L68">
        <v>1</v>
      </c>
      <c r="M68">
        <v>1</v>
      </c>
      <c r="N68">
        <v>5</v>
      </c>
      <c r="O68">
        <v>1</v>
      </c>
    </row>
    <row r="69" spans="1:16" x14ac:dyDescent="0.3">
      <c r="A69" s="7" t="s">
        <v>259</v>
      </c>
      <c r="B69" t="s">
        <v>266</v>
      </c>
      <c r="C69" s="7" t="s">
        <v>258</v>
      </c>
      <c r="D69" s="1">
        <v>45379</v>
      </c>
      <c r="E69" s="9">
        <v>0.25</v>
      </c>
      <c r="F69" s="9">
        <v>0.25694444444444398</v>
      </c>
      <c r="H69" t="s">
        <v>106</v>
      </c>
      <c r="I69" s="2" t="s">
        <v>107</v>
      </c>
      <c r="J69" s="2" t="s">
        <v>108</v>
      </c>
      <c r="K69">
        <v>1</v>
      </c>
      <c r="L69">
        <v>1</v>
      </c>
      <c r="M69">
        <v>1</v>
      </c>
      <c r="N69">
        <v>5</v>
      </c>
      <c r="O69">
        <v>1</v>
      </c>
    </row>
    <row r="70" spans="1:16" x14ac:dyDescent="0.3">
      <c r="A70" s="7" t="s">
        <v>262</v>
      </c>
      <c r="B70" t="s">
        <v>264</v>
      </c>
      <c r="C70" s="7" t="s">
        <v>258</v>
      </c>
      <c r="D70" s="1">
        <v>45379</v>
      </c>
      <c r="E70" s="9">
        <v>0.25</v>
      </c>
      <c r="F70" s="9">
        <v>0.25694444444444398</v>
      </c>
      <c r="H70" t="s">
        <v>106</v>
      </c>
      <c r="I70" s="2" t="s">
        <v>107</v>
      </c>
      <c r="J70" s="2" t="s">
        <v>108</v>
      </c>
      <c r="K70">
        <v>1</v>
      </c>
      <c r="L70">
        <v>1</v>
      </c>
      <c r="M70">
        <v>1</v>
      </c>
      <c r="N70">
        <v>5</v>
      </c>
      <c r="O70">
        <v>1</v>
      </c>
    </row>
    <row r="71" spans="1:16" x14ac:dyDescent="0.3">
      <c r="A71" s="7" t="s">
        <v>271</v>
      </c>
      <c r="B71" t="s">
        <v>272</v>
      </c>
      <c r="C71" s="7" t="s">
        <v>258</v>
      </c>
      <c r="D71" s="1">
        <v>45379</v>
      </c>
      <c r="E71" s="9">
        <v>0.25</v>
      </c>
      <c r="F71" s="9">
        <v>0.25694444444444398</v>
      </c>
      <c r="H71" t="s">
        <v>106</v>
      </c>
      <c r="I71" s="2" t="s">
        <v>107</v>
      </c>
      <c r="J71" s="2" t="s">
        <v>108</v>
      </c>
      <c r="K71">
        <v>1</v>
      </c>
      <c r="L71">
        <v>1</v>
      </c>
      <c r="M71">
        <v>1</v>
      </c>
      <c r="N71">
        <v>5</v>
      </c>
      <c r="O71">
        <v>1</v>
      </c>
    </row>
    <row r="72" spans="1:16" x14ac:dyDescent="0.3">
      <c r="A72" s="7" t="s">
        <v>281</v>
      </c>
      <c r="B72" t="s">
        <v>280</v>
      </c>
      <c r="C72" s="7" t="s">
        <v>274</v>
      </c>
      <c r="D72" s="1">
        <v>45379</v>
      </c>
      <c r="E72" s="9">
        <v>0.25</v>
      </c>
      <c r="F72" s="9">
        <v>0.25694444444444398</v>
      </c>
      <c r="H72" t="s">
        <v>106</v>
      </c>
      <c r="I72" s="2" t="s">
        <v>107</v>
      </c>
      <c r="J72" s="2" t="s">
        <v>108</v>
      </c>
      <c r="K72">
        <v>1</v>
      </c>
      <c r="L72">
        <v>1</v>
      </c>
      <c r="M72">
        <v>1</v>
      </c>
      <c r="N72">
        <v>5</v>
      </c>
      <c r="O72">
        <v>1</v>
      </c>
    </row>
    <row r="73" spans="1:16" x14ac:dyDescent="0.3">
      <c r="A73" s="7" t="s">
        <v>286</v>
      </c>
      <c r="B73" t="s">
        <v>285</v>
      </c>
      <c r="C73" s="7" t="s">
        <v>258</v>
      </c>
      <c r="D73" s="1">
        <v>45379</v>
      </c>
      <c r="E73" s="9">
        <v>0.25</v>
      </c>
      <c r="F73" s="9">
        <v>0.25694444444444398</v>
      </c>
      <c r="G73" t="s">
        <v>296</v>
      </c>
      <c r="H73" s="4" t="s">
        <v>27</v>
      </c>
      <c r="I73" s="5" t="s">
        <v>25</v>
      </c>
      <c r="J73" s="5" t="s">
        <v>26</v>
      </c>
      <c r="K73">
        <v>1</v>
      </c>
      <c r="L73">
        <v>1</v>
      </c>
      <c r="M73">
        <v>1</v>
      </c>
      <c r="N73">
        <v>4</v>
      </c>
      <c r="O73">
        <v>1</v>
      </c>
      <c r="P73">
        <v>3</v>
      </c>
    </row>
    <row r="74" spans="1:16" x14ac:dyDescent="0.3">
      <c r="A74" s="7" t="s">
        <v>262</v>
      </c>
      <c r="B74" t="s">
        <v>264</v>
      </c>
      <c r="C74" s="7" t="s">
        <v>258</v>
      </c>
      <c r="D74" s="1">
        <v>45379</v>
      </c>
      <c r="E74" s="9">
        <v>0.25</v>
      </c>
      <c r="F74" s="9">
        <v>0.25694444444444398</v>
      </c>
      <c r="H74" s="4" t="s">
        <v>27</v>
      </c>
      <c r="I74" s="5" t="s">
        <v>25</v>
      </c>
      <c r="J74" s="5" t="s">
        <v>26</v>
      </c>
      <c r="K74">
        <v>1</v>
      </c>
      <c r="L74">
        <v>1</v>
      </c>
      <c r="M74">
        <v>1</v>
      </c>
      <c r="N74">
        <v>4</v>
      </c>
      <c r="O74">
        <v>1</v>
      </c>
      <c r="P74">
        <v>3</v>
      </c>
    </row>
    <row r="75" spans="1:16" x14ac:dyDescent="0.3">
      <c r="A75" s="7" t="s">
        <v>259</v>
      </c>
      <c r="B75" t="s">
        <v>266</v>
      </c>
      <c r="C75" s="7" t="s">
        <v>258</v>
      </c>
      <c r="D75" s="1">
        <v>45379</v>
      </c>
      <c r="E75" s="9">
        <v>0.25</v>
      </c>
      <c r="F75" s="9">
        <v>0.25694444444444398</v>
      </c>
      <c r="H75" s="4" t="s">
        <v>27</v>
      </c>
      <c r="I75" s="5" t="s">
        <v>25</v>
      </c>
      <c r="J75" s="5" t="s">
        <v>26</v>
      </c>
      <c r="K75">
        <v>1</v>
      </c>
      <c r="L75">
        <v>1</v>
      </c>
      <c r="M75">
        <v>1</v>
      </c>
      <c r="N75">
        <v>4</v>
      </c>
      <c r="O75">
        <v>1</v>
      </c>
      <c r="P75">
        <v>3</v>
      </c>
    </row>
    <row r="76" spans="1:16" x14ac:dyDescent="0.3">
      <c r="A76" s="7" t="s">
        <v>271</v>
      </c>
      <c r="B76" t="s">
        <v>272</v>
      </c>
      <c r="C76" s="7" t="s">
        <v>258</v>
      </c>
      <c r="D76" s="1">
        <v>45379</v>
      </c>
      <c r="E76" s="9">
        <v>0.25</v>
      </c>
      <c r="F76" s="9">
        <v>0.25694444444444398</v>
      </c>
      <c r="H76" s="4" t="s">
        <v>27</v>
      </c>
      <c r="I76" s="5" t="s">
        <v>25</v>
      </c>
      <c r="J76" s="5" t="s">
        <v>26</v>
      </c>
      <c r="K76">
        <v>1</v>
      </c>
      <c r="L76">
        <v>1</v>
      </c>
      <c r="M76">
        <v>1</v>
      </c>
      <c r="N76">
        <v>4</v>
      </c>
      <c r="O76">
        <v>1</v>
      </c>
      <c r="P76">
        <v>3</v>
      </c>
    </row>
    <row r="77" spans="1:16" x14ac:dyDescent="0.3">
      <c r="A77" s="7" t="s">
        <v>281</v>
      </c>
      <c r="B77" t="s">
        <v>280</v>
      </c>
      <c r="C77" s="7" t="s">
        <v>274</v>
      </c>
      <c r="D77" s="1">
        <v>45379</v>
      </c>
      <c r="E77" s="9">
        <v>0.25</v>
      </c>
      <c r="F77" s="9">
        <v>0.25694444444444398</v>
      </c>
      <c r="H77" s="4" t="s">
        <v>27</v>
      </c>
      <c r="I77" s="5" t="s">
        <v>25</v>
      </c>
      <c r="J77" s="5" t="s">
        <v>26</v>
      </c>
      <c r="K77">
        <v>1</v>
      </c>
      <c r="L77">
        <v>1</v>
      </c>
      <c r="M77">
        <v>1</v>
      </c>
      <c r="N77">
        <v>4</v>
      </c>
      <c r="O77">
        <v>1</v>
      </c>
      <c r="P77">
        <v>3</v>
      </c>
    </row>
    <row r="78" spans="1:16" x14ac:dyDescent="0.3">
      <c r="A78" s="7" t="s">
        <v>262</v>
      </c>
      <c r="B78" t="s">
        <v>264</v>
      </c>
      <c r="C78" s="7" t="s">
        <v>258</v>
      </c>
      <c r="D78" s="1">
        <v>45379</v>
      </c>
      <c r="E78" s="9">
        <v>0.25</v>
      </c>
      <c r="F78" s="9">
        <v>0.25694444444444398</v>
      </c>
      <c r="H78" t="s">
        <v>110</v>
      </c>
      <c r="I78" s="2" t="s">
        <v>112</v>
      </c>
      <c r="J78" s="2" t="s">
        <v>113</v>
      </c>
      <c r="K78">
        <v>1</v>
      </c>
      <c r="L78">
        <v>1</v>
      </c>
      <c r="M78">
        <v>1</v>
      </c>
      <c r="N78">
        <v>4</v>
      </c>
      <c r="O78">
        <v>1</v>
      </c>
      <c r="P78">
        <v>1</v>
      </c>
    </row>
    <row r="79" spans="1:16" x14ac:dyDescent="0.3">
      <c r="A79" s="7" t="s">
        <v>260</v>
      </c>
      <c r="B79" t="s">
        <v>257</v>
      </c>
      <c r="C79" s="7" t="s">
        <v>258</v>
      </c>
      <c r="D79" s="1">
        <v>45379</v>
      </c>
      <c r="E79" s="9">
        <v>0.25</v>
      </c>
      <c r="F79" s="9">
        <v>0.25694444444444398</v>
      </c>
      <c r="H79" t="s">
        <v>110</v>
      </c>
      <c r="I79" s="2" t="s">
        <v>112</v>
      </c>
      <c r="J79" s="2" t="s">
        <v>113</v>
      </c>
      <c r="K79">
        <v>1</v>
      </c>
      <c r="L79">
        <v>1</v>
      </c>
      <c r="M79">
        <v>1</v>
      </c>
      <c r="N79">
        <v>4</v>
      </c>
      <c r="O79">
        <v>1</v>
      </c>
      <c r="P79">
        <v>1</v>
      </c>
    </row>
    <row r="80" spans="1:16" x14ac:dyDescent="0.3">
      <c r="A80" s="7" t="s">
        <v>259</v>
      </c>
      <c r="B80" t="s">
        <v>266</v>
      </c>
      <c r="C80" s="7" t="s">
        <v>258</v>
      </c>
      <c r="D80" s="1">
        <v>45379</v>
      </c>
      <c r="E80" s="9">
        <v>0.25</v>
      </c>
      <c r="F80" s="9">
        <v>0.25694444444444398</v>
      </c>
      <c r="H80" t="s">
        <v>110</v>
      </c>
      <c r="I80" s="2" t="s">
        <v>112</v>
      </c>
      <c r="J80" s="2" t="s">
        <v>113</v>
      </c>
      <c r="K80">
        <v>1</v>
      </c>
      <c r="L80">
        <v>1</v>
      </c>
      <c r="M80">
        <v>1</v>
      </c>
      <c r="N80">
        <v>4</v>
      </c>
      <c r="O80">
        <v>1</v>
      </c>
      <c r="P80">
        <v>1</v>
      </c>
    </row>
    <row r="81" spans="1:16" x14ac:dyDescent="0.3">
      <c r="A81" s="7" t="s">
        <v>271</v>
      </c>
      <c r="B81" t="s">
        <v>272</v>
      </c>
      <c r="C81" s="7" t="s">
        <v>258</v>
      </c>
      <c r="D81" s="1">
        <v>45379</v>
      </c>
      <c r="E81" s="9">
        <v>0.25</v>
      </c>
      <c r="F81" s="9">
        <v>0.25694444444444398</v>
      </c>
      <c r="H81" t="s">
        <v>110</v>
      </c>
      <c r="I81" s="2" t="s">
        <v>112</v>
      </c>
      <c r="J81" s="2" t="s">
        <v>113</v>
      </c>
      <c r="K81">
        <v>1</v>
      </c>
      <c r="L81">
        <v>1</v>
      </c>
      <c r="M81">
        <v>1</v>
      </c>
      <c r="N81">
        <v>4</v>
      </c>
      <c r="O81">
        <v>1</v>
      </c>
      <c r="P81">
        <v>1</v>
      </c>
    </row>
    <row r="82" spans="1:16" x14ac:dyDescent="0.3">
      <c r="A82" s="7" t="s">
        <v>259</v>
      </c>
      <c r="B82" t="s">
        <v>266</v>
      </c>
      <c r="C82" s="7" t="s">
        <v>258</v>
      </c>
      <c r="D82" s="1">
        <v>45379</v>
      </c>
      <c r="E82" s="9">
        <v>0.25</v>
      </c>
      <c r="F82" s="9">
        <v>0.25694444444444398</v>
      </c>
      <c r="H82" s="4" t="s">
        <v>115</v>
      </c>
      <c r="I82" s="5" t="s">
        <v>117</v>
      </c>
      <c r="J82" s="5" t="s">
        <v>118</v>
      </c>
      <c r="K82">
        <v>1</v>
      </c>
      <c r="L82">
        <v>1</v>
      </c>
      <c r="M82">
        <v>1</v>
      </c>
      <c r="N82">
        <v>4</v>
      </c>
      <c r="O82">
        <v>1</v>
      </c>
      <c r="P82">
        <v>1</v>
      </c>
    </row>
    <row r="83" spans="1:16" x14ac:dyDescent="0.3">
      <c r="A83" s="7" t="s">
        <v>262</v>
      </c>
      <c r="B83" t="s">
        <v>264</v>
      </c>
      <c r="C83" s="7" t="s">
        <v>258</v>
      </c>
      <c r="D83" s="1">
        <v>45379</v>
      </c>
      <c r="E83" s="9">
        <v>0.25</v>
      </c>
      <c r="F83" s="9">
        <v>0.25694444444444398</v>
      </c>
      <c r="H83" s="4" t="s">
        <v>115</v>
      </c>
      <c r="I83" s="5" t="s">
        <v>117</v>
      </c>
      <c r="J83" s="5" t="s">
        <v>118</v>
      </c>
      <c r="K83">
        <v>1</v>
      </c>
      <c r="L83">
        <v>1</v>
      </c>
      <c r="M83">
        <v>1</v>
      </c>
      <c r="N83">
        <v>4</v>
      </c>
      <c r="O83">
        <v>1</v>
      </c>
      <c r="P83">
        <v>1</v>
      </c>
    </row>
    <row r="84" spans="1:16" x14ac:dyDescent="0.3">
      <c r="A84" s="7" t="s">
        <v>260</v>
      </c>
      <c r="B84" t="s">
        <v>257</v>
      </c>
      <c r="C84" s="7" t="s">
        <v>258</v>
      </c>
      <c r="D84" s="1">
        <v>45379</v>
      </c>
      <c r="E84" s="9">
        <v>0.25</v>
      </c>
      <c r="F84" s="9">
        <v>0.25694444444444398</v>
      </c>
      <c r="H84" s="4" t="s">
        <v>115</v>
      </c>
      <c r="I84" s="5" t="s">
        <v>117</v>
      </c>
      <c r="J84" s="5" t="s">
        <v>118</v>
      </c>
      <c r="K84">
        <v>1</v>
      </c>
      <c r="L84">
        <v>1</v>
      </c>
      <c r="M84">
        <v>1</v>
      </c>
      <c r="N84">
        <v>4</v>
      </c>
      <c r="O84">
        <v>1</v>
      </c>
      <c r="P84">
        <v>1</v>
      </c>
    </row>
    <row r="85" spans="1:16" x14ac:dyDescent="0.3">
      <c r="A85" s="7" t="s">
        <v>281</v>
      </c>
      <c r="B85" t="s">
        <v>280</v>
      </c>
      <c r="C85" s="7" t="s">
        <v>274</v>
      </c>
      <c r="D85" s="1">
        <v>45379</v>
      </c>
      <c r="E85" s="9">
        <v>0.25</v>
      </c>
      <c r="F85" s="9">
        <v>0.25694444444444398</v>
      </c>
      <c r="H85" s="4" t="s">
        <v>115</v>
      </c>
      <c r="I85" s="5" t="s">
        <v>117</v>
      </c>
      <c r="J85" s="5" t="s">
        <v>118</v>
      </c>
      <c r="K85">
        <v>1</v>
      </c>
      <c r="L85">
        <v>1</v>
      </c>
      <c r="M85">
        <v>1</v>
      </c>
      <c r="N85">
        <v>4</v>
      </c>
      <c r="O85">
        <v>1</v>
      </c>
      <c r="P85">
        <v>1</v>
      </c>
    </row>
    <row r="86" spans="1:16" x14ac:dyDescent="0.3">
      <c r="A86" s="7" t="s">
        <v>286</v>
      </c>
      <c r="B86" t="s">
        <v>285</v>
      </c>
      <c r="C86" s="7" t="s">
        <v>258</v>
      </c>
      <c r="D86" s="1">
        <v>45379</v>
      </c>
      <c r="E86" s="9">
        <v>0.25</v>
      </c>
      <c r="F86" s="9">
        <v>0.25694444444444398</v>
      </c>
      <c r="H86" s="4" t="s">
        <v>115</v>
      </c>
      <c r="I86" s="5" t="s">
        <v>117</v>
      </c>
      <c r="J86" s="5" t="s">
        <v>118</v>
      </c>
      <c r="K86">
        <v>1</v>
      </c>
      <c r="L86">
        <v>1</v>
      </c>
      <c r="M86">
        <v>1</v>
      </c>
      <c r="N86">
        <v>4</v>
      </c>
      <c r="O86">
        <v>1</v>
      </c>
      <c r="P86">
        <v>1</v>
      </c>
    </row>
    <row r="87" spans="1:16" x14ac:dyDescent="0.3">
      <c r="A87" s="7" t="s">
        <v>259</v>
      </c>
      <c r="B87" t="s">
        <v>266</v>
      </c>
      <c r="C87" s="7" t="s">
        <v>258</v>
      </c>
      <c r="D87" s="1">
        <v>45379</v>
      </c>
      <c r="E87" s="9">
        <v>0.25</v>
      </c>
      <c r="F87" s="9">
        <v>0.25694444444444398</v>
      </c>
      <c r="H87" t="s">
        <v>120</v>
      </c>
      <c r="I87" s="2" t="s">
        <v>122</v>
      </c>
      <c r="J87" s="2" t="s">
        <v>123</v>
      </c>
      <c r="K87">
        <v>2</v>
      </c>
      <c r="L87">
        <v>1</v>
      </c>
      <c r="M87">
        <v>1</v>
      </c>
      <c r="N87">
        <v>5</v>
      </c>
      <c r="O87">
        <v>1</v>
      </c>
      <c r="P87">
        <v>1</v>
      </c>
    </row>
    <row r="88" spans="1:16" x14ac:dyDescent="0.3">
      <c r="A88" s="7" t="s">
        <v>286</v>
      </c>
      <c r="B88" t="s">
        <v>285</v>
      </c>
      <c r="C88" s="7" t="s">
        <v>258</v>
      </c>
      <c r="D88" s="1">
        <v>45379</v>
      </c>
      <c r="E88" s="9">
        <v>0.25</v>
      </c>
      <c r="F88" s="9">
        <v>0.25694444444444398</v>
      </c>
      <c r="H88" t="s">
        <v>120</v>
      </c>
      <c r="I88" s="2" t="s">
        <v>122</v>
      </c>
      <c r="J88" s="2" t="s">
        <v>123</v>
      </c>
      <c r="K88">
        <v>2</v>
      </c>
      <c r="L88">
        <v>1</v>
      </c>
      <c r="M88">
        <v>1</v>
      </c>
      <c r="N88">
        <v>5</v>
      </c>
      <c r="O88">
        <v>1</v>
      </c>
      <c r="P88">
        <v>1</v>
      </c>
    </row>
    <row r="89" spans="1:16" x14ac:dyDescent="0.3">
      <c r="A89" s="7" t="s">
        <v>262</v>
      </c>
      <c r="B89" t="s">
        <v>264</v>
      </c>
      <c r="C89" s="7" t="s">
        <v>258</v>
      </c>
      <c r="D89" s="1">
        <v>45379</v>
      </c>
      <c r="E89" s="9">
        <v>0.25</v>
      </c>
      <c r="F89" s="9">
        <v>0.25694444444444398</v>
      </c>
      <c r="H89" t="s">
        <v>120</v>
      </c>
      <c r="I89" s="2" t="s">
        <v>122</v>
      </c>
      <c r="J89" s="2" t="s">
        <v>123</v>
      </c>
      <c r="K89">
        <v>2</v>
      </c>
      <c r="L89">
        <v>1</v>
      </c>
      <c r="M89">
        <v>1</v>
      </c>
      <c r="N89">
        <v>5</v>
      </c>
      <c r="O89">
        <v>1</v>
      </c>
      <c r="P89">
        <v>1</v>
      </c>
    </row>
    <row r="90" spans="1:16" x14ac:dyDescent="0.3">
      <c r="A90" s="7" t="s">
        <v>260</v>
      </c>
      <c r="B90" t="s">
        <v>257</v>
      </c>
      <c r="C90" s="7" t="s">
        <v>258</v>
      </c>
      <c r="D90" s="1">
        <v>45379</v>
      </c>
      <c r="E90" s="9">
        <v>0.25</v>
      </c>
      <c r="F90" s="9">
        <v>0.25694444444444398</v>
      </c>
      <c r="H90" t="s">
        <v>120</v>
      </c>
      <c r="I90" s="2" t="s">
        <v>122</v>
      </c>
      <c r="J90" s="2" t="s">
        <v>123</v>
      </c>
      <c r="K90">
        <v>2</v>
      </c>
      <c r="L90">
        <v>1</v>
      </c>
      <c r="M90">
        <v>1</v>
      </c>
      <c r="N90">
        <v>5</v>
      </c>
      <c r="O90">
        <v>1</v>
      </c>
      <c r="P90">
        <v>1</v>
      </c>
    </row>
    <row r="91" spans="1:16" x14ac:dyDescent="0.3">
      <c r="A91" s="7" t="s">
        <v>281</v>
      </c>
      <c r="B91" t="s">
        <v>280</v>
      </c>
      <c r="C91" s="7" t="s">
        <v>274</v>
      </c>
      <c r="D91" s="1">
        <v>45379</v>
      </c>
      <c r="E91" s="9">
        <v>0.25</v>
      </c>
      <c r="F91" s="9">
        <v>0.25694444444444398</v>
      </c>
      <c r="H91" t="s">
        <v>120</v>
      </c>
      <c r="I91" s="2" t="s">
        <v>122</v>
      </c>
      <c r="J91" s="2" t="s">
        <v>123</v>
      </c>
      <c r="K91">
        <v>2</v>
      </c>
      <c r="L91">
        <v>1</v>
      </c>
      <c r="M91">
        <v>1</v>
      </c>
      <c r="N91">
        <v>5</v>
      </c>
      <c r="O91">
        <v>1</v>
      </c>
      <c r="P91">
        <v>1</v>
      </c>
    </row>
    <row r="92" spans="1:16" x14ac:dyDescent="0.3">
      <c r="A92" s="7" t="s">
        <v>260</v>
      </c>
      <c r="B92" t="s">
        <v>257</v>
      </c>
      <c r="C92" s="7" t="s">
        <v>258</v>
      </c>
      <c r="D92" s="1">
        <v>45379</v>
      </c>
      <c r="E92" s="17">
        <v>0.25277777777777777</v>
      </c>
      <c r="F92" s="17">
        <v>0.25972222222222224</v>
      </c>
      <c r="H92" s="4" t="s">
        <v>125</v>
      </c>
      <c r="I92" s="5" t="s">
        <v>126</v>
      </c>
      <c r="J92" s="5" t="s">
        <v>127</v>
      </c>
      <c r="K92">
        <v>2</v>
      </c>
      <c r="L92">
        <v>1</v>
      </c>
      <c r="M92">
        <v>1</v>
      </c>
      <c r="N92">
        <v>4</v>
      </c>
      <c r="O92">
        <v>1</v>
      </c>
      <c r="P92">
        <v>1</v>
      </c>
    </row>
    <row r="93" spans="1:16" x14ac:dyDescent="0.3">
      <c r="A93" s="7" t="s">
        <v>262</v>
      </c>
      <c r="B93" t="s">
        <v>264</v>
      </c>
      <c r="C93" s="7" t="s">
        <v>258</v>
      </c>
      <c r="D93" s="1">
        <v>45379</v>
      </c>
      <c r="E93" s="17">
        <v>0.25277777777777777</v>
      </c>
      <c r="F93" s="17">
        <v>0.25972222222222224</v>
      </c>
      <c r="H93" s="4" t="s">
        <v>125</v>
      </c>
      <c r="I93" s="5" t="s">
        <v>126</v>
      </c>
      <c r="J93" s="5" t="s">
        <v>127</v>
      </c>
      <c r="K93">
        <v>2</v>
      </c>
      <c r="L93">
        <v>1</v>
      </c>
      <c r="M93">
        <v>1</v>
      </c>
      <c r="N93">
        <v>4</v>
      </c>
      <c r="O93">
        <v>1</v>
      </c>
      <c r="P93">
        <v>1</v>
      </c>
    </row>
    <row r="94" spans="1:16" x14ac:dyDescent="0.3">
      <c r="A94" s="7" t="s">
        <v>286</v>
      </c>
      <c r="B94" t="s">
        <v>285</v>
      </c>
      <c r="C94" s="7" t="s">
        <v>258</v>
      </c>
      <c r="D94" s="1">
        <v>45379</v>
      </c>
      <c r="E94" s="17">
        <v>0.25277777777777777</v>
      </c>
      <c r="F94" s="17">
        <v>0.25972222222222224</v>
      </c>
      <c r="H94" s="4" t="s">
        <v>125</v>
      </c>
      <c r="I94" s="5" t="s">
        <v>126</v>
      </c>
      <c r="J94" s="5" t="s">
        <v>127</v>
      </c>
      <c r="K94">
        <v>2</v>
      </c>
      <c r="L94">
        <v>1</v>
      </c>
      <c r="M94">
        <v>1</v>
      </c>
      <c r="N94">
        <v>4</v>
      </c>
      <c r="O94">
        <v>1</v>
      </c>
      <c r="P94">
        <v>1</v>
      </c>
    </row>
    <row r="95" spans="1:16" x14ac:dyDescent="0.3">
      <c r="A95" s="7" t="s">
        <v>271</v>
      </c>
      <c r="B95" t="s">
        <v>272</v>
      </c>
      <c r="C95" s="7" t="s">
        <v>258</v>
      </c>
      <c r="D95" s="1">
        <v>45379</v>
      </c>
      <c r="E95" s="17">
        <v>0.25277777777777777</v>
      </c>
      <c r="F95" s="17">
        <v>0.25972222222222224</v>
      </c>
      <c r="H95" s="4" t="s">
        <v>125</v>
      </c>
      <c r="I95" s="5" t="s">
        <v>126</v>
      </c>
      <c r="J95" s="5" t="s">
        <v>127</v>
      </c>
      <c r="K95">
        <v>2</v>
      </c>
      <c r="L95">
        <v>1</v>
      </c>
      <c r="M95">
        <v>1</v>
      </c>
      <c r="N95">
        <v>4</v>
      </c>
      <c r="O95">
        <v>1</v>
      </c>
      <c r="P95">
        <v>1</v>
      </c>
    </row>
    <row r="96" spans="1:16" x14ac:dyDescent="0.3">
      <c r="A96" s="7" t="s">
        <v>261</v>
      </c>
      <c r="B96" t="s">
        <v>265</v>
      </c>
      <c r="C96" s="7" t="s">
        <v>258</v>
      </c>
      <c r="D96" s="1">
        <v>45379</v>
      </c>
      <c r="E96" s="17">
        <v>0.25277777777777777</v>
      </c>
      <c r="F96" s="17">
        <v>0.25972222222222224</v>
      </c>
      <c r="H96" s="4" t="s">
        <v>125</v>
      </c>
      <c r="I96" s="5" t="s">
        <v>126</v>
      </c>
      <c r="J96" s="5" t="s">
        <v>127</v>
      </c>
      <c r="K96">
        <v>2</v>
      </c>
      <c r="L96">
        <v>1</v>
      </c>
      <c r="M96">
        <v>1</v>
      </c>
      <c r="N96">
        <v>3</v>
      </c>
      <c r="O96">
        <v>1</v>
      </c>
      <c r="P96">
        <v>1</v>
      </c>
    </row>
    <row r="97" spans="1:16" x14ac:dyDescent="0.3">
      <c r="A97" s="7" t="s">
        <v>259</v>
      </c>
      <c r="B97" t="s">
        <v>266</v>
      </c>
      <c r="C97" s="7" t="s">
        <v>258</v>
      </c>
      <c r="D97" s="1">
        <v>45379</v>
      </c>
      <c r="E97" s="17">
        <v>0.25277777777777777</v>
      </c>
      <c r="F97" s="17">
        <v>0.25972222222222224</v>
      </c>
      <c r="H97" s="4" t="s">
        <v>125</v>
      </c>
      <c r="I97" s="5" t="s">
        <v>126</v>
      </c>
      <c r="J97" s="5" t="s">
        <v>127</v>
      </c>
      <c r="K97">
        <v>2</v>
      </c>
      <c r="L97">
        <v>1</v>
      </c>
      <c r="M97">
        <v>1</v>
      </c>
      <c r="N97">
        <v>3</v>
      </c>
      <c r="O97">
        <v>1</v>
      </c>
      <c r="P97">
        <v>1</v>
      </c>
    </row>
    <row r="98" spans="1:16" x14ac:dyDescent="0.3">
      <c r="A98" s="7" t="s">
        <v>259</v>
      </c>
      <c r="B98" t="s">
        <v>266</v>
      </c>
      <c r="C98" s="7" t="s">
        <v>258</v>
      </c>
      <c r="D98" s="1">
        <v>45415</v>
      </c>
      <c r="E98" s="17">
        <v>0.25</v>
      </c>
      <c r="F98" s="17">
        <v>0.25694444444444442</v>
      </c>
      <c r="H98" t="s">
        <v>129</v>
      </c>
      <c r="I98" s="2" t="s">
        <v>130</v>
      </c>
      <c r="J98" s="2" t="s">
        <v>131</v>
      </c>
      <c r="K98">
        <v>2</v>
      </c>
      <c r="L98">
        <v>1</v>
      </c>
      <c r="M98">
        <v>1</v>
      </c>
      <c r="N98">
        <v>4</v>
      </c>
      <c r="O98">
        <v>2</v>
      </c>
      <c r="P98">
        <v>1</v>
      </c>
    </row>
    <row r="99" spans="1:16" x14ac:dyDescent="0.3">
      <c r="A99" s="7" t="s">
        <v>286</v>
      </c>
      <c r="B99" t="s">
        <v>285</v>
      </c>
      <c r="C99" s="7" t="s">
        <v>258</v>
      </c>
      <c r="D99" s="1">
        <v>45415</v>
      </c>
      <c r="E99" s="17">
        <v>0.25</v>
      </c>
      <c r="F99" s="17">
        <v>0.25694444444444442</v>
      </c>
      <c r="H99" t="s">
        <v>129</v>
      </c>
      <c r="I99" s="2" t="s">
        <v>130</v>
      </c>
      <c r="J99" s="2" t="s">
        <v>131</v>
      </c>
      <c r="K99">
        <v>2</v>
      </c>
      <c r="L99">
        <v>1</v>
      </c>
      <c r="M99">
        <v>1</v>
      </c>
      <c r="N99">
        <v>4</v>
      </c>
      <c r="O99">
        <v>2</v>
      </c>
      <c r="P99">
        <v>1</v>
      </c>
    </row>
    <row r="100" spans="1:16" x14ac:dyDescent="0.3">
      <c r="A100" s="7" t="s">
        <v>262</v>
      </c>
      <c r="B100" t="s">
        <v>264</v>
      </c>
      <c r="C100" s="7" t="s">
        <v>258</v>
      </c>
      <c r="D100" s="1">
        <v>45415</v>
      </c>
      <c r="E100" s="17">
        <v>0.25</v>
      </c>
      <c r="F100" s="17">
        <v>0.25694444444444442</v>
      </c>
      <c r="H100" t="s">
        <v>129</v>
      </c>
      <c r="I100" s="2" t="s">
        <v>130</v>
      </c>
      <c r="J100" s="2" t="s">
        <v>131</v>
      </c>
      <c r="K100">
        <v>2</v>
      </c>
      <c r="L100">
        <v>1</v>
      </c>
      <c r="M100">
        <v>1</v>
      </c>
      <c r="N100">
        <v>4</v>
      </c>
      <c r="O100">
        <v>2</v>
      </c>
      <c r="P100">
        <v>1</v>
      </c>
    </row>
    <row r="101" spans="1:16" x14ac:dyDescent="0.3">
      <c r="A101" s="7" t="s">
        <v>281</v>
      </c>
      <c r="B101" t="s">
        <v>280</v>
      </c>
      <c r="C101" s="7" t="s">
        <v>274</v>
      </c>
      <c r="D101" s="1">
        <v>45415</v>
      </c>
      <c r="E101" s="17">
        <v>0.25</v>
      </c>
      <c r="F101" s="17">
        <v>0.25694444444444442</v>
      </c>
      <c r="H101" t="s">
        <v>129</v>
      </c>
      <c r="I101" s="2" t="s">
        <v>130</v>
      </c>
      <c r="J101" s="2" t="s">
        <v>131</v>
      </c>
      <c r="K101">
        <v>2</v>
      </c>
      <c r="L101">
        <v>1</v>
      </c>
      <c r="M101">
        <v>1</v>
      </c>
      <c r="N101">
        <v>4</v>
      </c>
      <c r="O101">
        <v>2</v>
      </c>
      <c r="P101">
        <v>1</v>
      </c>
    </row>
    <row r="102" spans="1:16" x14ac:dyDescent="0.3">
      <c r="A102" s="7" t="s">
        <v>260</v>
      </c>
      <c r="B102" t="s">
        <v>257</v>
      </c>
      <c r="C102" s="7" t="s">
        <v>258</v>
      </c>
      <c r="D102" s="1">
        <v>45415</v>
      </c>
      <c r="E102" s="17">
        <v>0.25</v>
      </c>
      <c r="F102" s="17">
        <v>0.25694444444444442</v>
      </c>
      <c r="H102" t="s">
        <v>129</v>
      </c>
      <c r="I102" s="2" t="s">
        <v>130</v>
      </c>
      <c r="J102" s="2" t="s">
        <v>131</v>
      </c>
      <c r="K102">
        <v>2</v>
      </c>
      <c r="L102">
        <v>1</v>
      </c>
      <c r="M102">
        <v>1</v>
      </c>
      <c r="N102">
        <v>4</v>
      </c>
      <c r="O102">
        <v>2</v>
      </c>
      <c r="P102">
        <v>1</v>
      </c>
    </row>
    <row r="103" spans="1:16" x14ac:dyDescent="0.3">
      <c r="A103" s="7" t="s">
        <v>286</v>
      </c>
      <c r="B103" t="s">
        <v>285</v>
      </c>
      <c r="C103" s="7" t="s">
        <v>258</v>
      </c>
      <c r="D103" s="1">
        <v>45379</v>
      </c>
      <c r="E103" s="9">
        <v>0.25</v>
      </c>
      <c r="F103" s="9">
        <v>0.25694444444444398</v>
      </c>
      <c r="H103" s="4" t="s">
        <v>133</v>
      </c>
      <c r="I103" s="5" t="s">
        <v>135</v>
      </c>
      <c r="J103" s="5" t="s">
        <v>136</v>
      </c>
      <c r="K103">
        <v>2</v>
      </c>
      <c r="L103">
        <v>1</v>
      </c>
      <c r="M103">
        <v>1</v>
      </c>
      <c r="N103">
        <v>5</v>
      </c>
      <c r="O103">
        <v>1</v>
      </c>
      <c r="P103">
        <v>1</v>
      </c>
    </row>
    <row r="104" spans="1:16" x14ac:dyDescent="0.3">
      <c r="A104" s="7" t="s">
        <v>259</v>
      </c>
      <c r="B104" t="s">
        <v>266</v>
      </c>
      <c r="C104" s="7" t="s">
        <v>258</v>
      </c>
      <c r="D104" s="1">
        <v>45379</v>
      </c>
      <c r="E104" s="9">
        <v>0.25</v>
      </c>
      <c r="F104" s="9">
        <v>0.25694444444444398</v>
      </c>
      <c r="H104" s="4" t="s">
        <v>133</v>
      </c>
      <c r="I104" s="5" t="s">
        <v>135</v>
      </c>
      <c r="J104" s="5" t="s">
        <v>136</v>
      </c>
      <c r="K104">
        <v>2</v>
      </c>
      <c r="L104">
        <v>1</v>
      </c>
      <c r="M104">
        <v>1</v>
      </c>
      <c r="N104">
        <v>5</v>
      </c>
      <c r="O104">
        <v>1</v>
      </c>
      <c r="P104">
        <v>1</v>
      </c>
    </row>
    <row r="105" spans="1:16" x14ac:dyDescent="0.3">
      <c r="A105" s="7" t="s">
        <v>260</v>
      </c>
      <c r="B105" t="s">
        <v>257</v>
      </c>
      <c r="C105" s="7" t="s">
        <v>258</v>
      </c>
      <c r="D105" s="1">
        <v>45379</v>
      </c>
      <c r="E105" s="9">
        <v>0.25</v>
      </c>
      <c r="F105" s="9">
        <v>0.25694444444444398</v>
      </c>
      <c r="H105" s="4" t="s">
        <v>133</v>
      </c>
      <c r="I105" s="5" t="s">
        <v>135</v>
      </c>
      <c r="J105" s="5" t="s">
        <v>136</v>
      </c>
      <c r="K105">
        <v>2</v>
      </c>
      <c r="L105">
        <v>1</v>
      </c>
      <c r="M105">
        <v>1</v>
      </c>
      <c r="N105">
        <v>5</v>
      </c>
      <c r="O105">
        <v>1</v>
      </c>
      <c r="P105">
        <v>1</v>
      </c>
    </row>
    <row r="106" spans="1:16" x14ac:dyDescent="0.3">
      <c r="A106" s="7" t="s">
        <v>262</v>
      </c>
      <c r="B106" t="s">
        <v>264</v>
      </c>
      <c r="C106" s="7" t="s">
        <v>258</v>
      </c>
      <c r="D106" s="1">
        <v>45379</v>
      </c>
      <c r="E106" s="9">
        <v>0.25</v>
      </c>
      <c r="F106" s="9">
        <v>0.25694444444444398</v>
      </c>
      <c r="H106" s="4" t="s">
        <v>133</v>
      </c>
      <c r="I106" s="5" t="s">
        <v>135</v>
      </c>
      <c r="J106" s="5" t="s">
        <v>136</v>
      </c>
      <c r="K106">
        <v>2</v>
      </c>
      <c r="L106">
        <v>1</v>
      </c>
      <c r="M106">
        <v>1</v>
      </c>
      <c r="N106">
        <v>5</v>
      </c>
      <c r="O106">
        <v>1</v>
      </c>
      <c r="P106">
        <v>1</v>
      </c>
    </row>
    <row r="107" spans="1:16" x14ac:dyDescent="0.3">
      <c r="A107" s="7" t="s">
        <v>259</v>
      </c>
      <c r="B107" t="s">
        <v>266</v>
      </c>
      <c r="C107" s="7" t="s">
        <v>258</v>
      </c>
      <c r="D107" s="1">
        <v>45415</v>
      </c>
      <c r="E107" s="17">
        <v>0.25069444444444444</v>
      </c>
      <c r="F107" s="17">
        <v>0.25763888888888886</v>
      </c>
      <c r="G107" t="s">
        <v>298</v>
      </c>
      <c r="H107" t="s">
        <v>139</v>
      </c>
      <c r="I107" s="2" t="s">
        <v>140</v>
      </c>
      <c r="J107" s="2" t="s">
        <v>141</v>
      </c>
      <c r="K107">
        <v>3</v>
      </c>
      <c r="L107">
        <v>1</v>
      </c>
      <c r="M107">
        <v>1</v>
      </c>
      <c r="N107">
        <v>5</v>
      </c>
      <c r="O107">
        <v>1</v>
      </c>
      <c r="P107">
        <v>5</v>
      </c>
    </row>
    <row r="108" spans="1:16" x14ac:dyDescent="0.3">
      <c r="A108" s="7" t="s">
        <v>262</v>
      </c>
      <c r="B108" t="s">
        <v>264</v>
      </c>
      <c r="C108" s="7" t="s">
        <v>258</v>
      </c>
      <c r="D108" s="1">
        <v>45415</v>
      </c>
      <c r="E108" s="17">
        <v>0.25069444444444444</v>
      </c>
      <c r="F108" s="17">
        <v>0.25763888888888886</v>
      </c>
      <c r="G108" t="s">
        <v>298</v>
      </c>
      <c r="H108" t="s">
        <v>139</v>
      </c>
      <c r="I108" s="2" t="s">
        <v>140</v>
      </c>
      <c r="J108" s="2" t="s">
        <v>141</v>
      </c>
      <c r="K108">
        <v>3</v>
      </c>
      <c r="L108">
        <v>1</v>
      </c>
      <c r="M108">
        <v>1</v>
      </c>
      <c r="N108">
        <v>5</v>
      </c>
      <c r="O108">
        <v>1</v>
      </c>
      <c r="P108">
        <v>5</v>
      </c>
    </row>
    <row r="109" spans="1:16" x14ac:dyDescent="0.3">
      <c r="A109" s="7" t="s">
        <v>286</v>
      </c>
      <c r="B109" t="s">
        <v>285</v>
      </c>
      <c r="C109" s="7" t="s">
        <v>258</v>
      </c>
      <c r="D109" s="1">
        <v>45415</v>
      </c>
      <c r="E109" s="17">
        <v>0.25069444444444444</v>
      </c>
      <c r="F109" s="17">
        <v>0.25763888888888886</v>
      </c>
      <c r="G109" t="s">
        <v>298</v>
      </c>
      <c r="H109" t="s">
        <v>139</v>
      </c>
      <c r="I109" s="2" t="s">
        <v>140</v>
      </c>
      <c r="J109" s="2" t="s">
        <v>141</v>
      </c>
      <c r="K109">
        <v>3</v>
      </c>
      <c r="L109">
        <v>1</v>
      </c>
      <c r="M109">
        <v>1</v>
      </c>
      <c r="N109">
        <v>5</v>
      </c>
      <c r="O109">
        <v>1</v>
      </c>
      <c r="P109">
        <v>5</v>
      </c>
    </row>
    <row r="110" spans="1:16" x14ac:dyDescent="0.3">
      <c r="A110" s="7" t="s">
        <v>271</v>
      </c>
      <c r="B110" t="s">
        <v>272</v>
      </c>
      <c r="C110" s="7" t="s">
        <v>258</v>
      </c>
      <c r="D110" s="1">
        <v>45415</v>
      </c>
      <c r="E110" s="17">
        <v>0.25069444444444444</v>
      </c>
      <c r="F110" s="17">
        <v>0.25763888888888886</v>
      </c>
      <c r="G110" t="s">
        <v>298</v>
      </c>
      <c r="H110" t="s">
        <v>139</v>
      </c>
      <c r="I110" s="2" t="s">
        <v>140</v>
      </c>
      <c r="J110" s="2" t="s">
        <v>141</v>
      </c>
      <c r="K110">
        <v>3</v>
      </c>
      <c r="L110">
        <v>1</v>
      </c>
      <c r="M110">
        <v>1</v>
      </c>
      <c r="N110">
        <v>5</v>
      </c>
      <c r="O110">
        <v>1</v>
      </c>
      <c r="P110">
        <v>5</v>
      </c>
    </row>
    <row r="111" spans="1:16" x14ac:dyDescent="0.3">
      <c r="A111" s="7" t="s">
        <v>260</v>
      </c>
      <c r="B111" t="s">
        <v>257</v>
      </c>
      <c r="C111" s="7" t="s">
        <v>258</v>
      </c>
      <c r="D111" s="1">
        <v>45415</v>
      </c>
      <c r="E111" s="17">
        <v>0.25069444444444444</v>
      </c>
      <c r="F111" s="17">
        <v>0.25763888888888886</v>
      </c>
      <c r="G111" t="s">
        <v>298</v>
      </c>
      <c r="H111" t="s">
        <v>139</v>
      </c>
      <c r="I111" s="2" t="s">
        <v>140</v>
      </c>
      <c r="J111" s="2" t="s">
        <v>141</v>
      </c>
      <c r="K111">
        <v>3</v>
      </c>
      <c r="L111">
        <v>1</v>
      </c>
      <c r="M111">
        <v>1</v>
      </c>
      <c r="N111">
        <v>5</v>
      </c>
      <c r="O111">
        <v>1</v>
      </c>
      <c r="P111">
        <v>5</v>
      </c>
    </row>
    <row r="112" spans="1:16" x14ac:dyDescent="0.3">
      <c r="A112" s="7" t="s">
        <v>259</v>
      </c>
      <c r="B112" t="s">
        <v>266</v>
      </c>
      <c r="C112" s="7" t="s">
        <v>258</v>
      </c>
      <c r="D112" s="1">
        <v>45379</v>
      </c>
      <c r="E112" s="9">
        <v>0.25</v>
      </c>
      <c r="F112" s="9">
        <v>0.25694444444444398</v>
      </c>
      <c r="H112" s="4" t="s">
        <v>143</v>
      </c>
      <c r="I112" s="5" t="s">
        <v>145</v>
      </c>
      <c r="J112" s="5" t="s">
        <v>146</v>
      </c>
      <c r="K112">
        <v>2</v>
      </c>
      <c r="L112">
        <v>1</v>
      </c>
      <c r="M112">
        <v>2</v>
      </c>
      <c r="N112">
        <v>4</v>
      </c>
      <c r="O112">
        <v>1</v>
      </c>
      <c r="P112">
        <v>3</v>
      </c>
    </row>
    <row r="113" spans="1:16" x14ac:dyDescent="0.3">
      <c r="A113" s="7" t="s">
        <v>260</v>
      </c>
      <c r="B113" t="s">
        <v>257</v>
      </c>
      <c r="C113" s="7" t="s">
        <v>258</v>
      </c>
      <c r="D113" s="1">
        <v>45379</v>
      </c>
      <c r="E113" s="9">
        <v>0.25</v>
      </c>
      <c r="F113" s="9">
        <v>0.25694444444444398</v>
      </c>
      <c r="H113" s="4" t="s">
        <v>143</v>
      </c>
      <c r="I113" s="5" t="s">
        <v>145</v>
      </c>
      <c r="J113" s="5" t="s">
        <v>146</v>
      </c>
      <c r="K113">
        <v>2</v>
      </c>
      <c r="L113">
        <v>1</v>
      </c>
      <c r="M113">
        <v>2</v>
      </c>
      <c r="N113">
        <v>4</v>
      </c>
      <c r="O113">
        <v>1</v>
      </c>
      <c r="P113">
        <v>3</v>
      </c>
    </row>
    <row r="114" spans="1:16" x14ac:dyDescent="0.3">
      <c r="A114" s="7" t="s">
        <v>262</v>
      </c>
      <c r="B114" t="s">
        <v>264</v>
      </c>
      <c r="C114" s="7" t="s">
        <v>258</v>
      </c>
      <c r="D114" s="1">
        <v>45379</v>
      </c>
      <c r="E114" s="9">
        <v>0.25</v>
      </c>
      <c r="F114" s="9">
        <v>0.25694444444444398</v>
      </c>
      <c r="H114" s="4" t="s">
        <v>143</v>
      </c>
      <c r="I114" s="5" t="s">
        <v>145</v>
      </c>
      <c r="J114" s="5" t="s">
        <v>146</v>
      </c>
      <c r="K114">
        <v>2</v>
      </c>
      <c r="L114">
        <v>1</v>
      </c>
      <c r="M114">
        <v>2</v>
      </c>
      <c r="N114">
        <v>4</v>
      </c>
      <c r="O114">
        <v>1</v>
      </c>
      <c r="P114">
        <v>3</v>
      </c>
    </row>
    <row r="115" spans="1:16" x14ac:dyDescent="0.3">
      <c r="A115" s="7" t="s">
        <v>271</v>
      </c>
      <c r="B115" t="s">
        <v>272</v>
      </c>
      <c r="C115" s="7" t="s">
        <v>258</v>
      </c>
      <c r="D115" s="1">
        <v>45379</v>
      </c>
      <c r="E115" s="9">
        <v>0.25</v>
      </c>
      <c r="F115" s="9">
        <v>0.25694444444444398</v>
      </c>
      <c r="H115" s="4" t="s">
        <v>143</v>
      </c>
      <c r="I115" s="5" t="s">
        <v>145</v>
      </c>
      <c r="J115" s="5" t="s">
        <v>146</v>
      </c>
      <c r="K115">
        <v>2</v>
      </c>
      <c r="L115">
        <v>1</v>
      </c>
      <c r="M115">
        <v>2</v>
      </c>
      <c r="N115">
        <v>4</v>
      </c>
      <c r="O115">
        <v>1</v>
      </c>
      <c r="P115">
        <v>3</v>
      </c>
    </row>
    <row r="116" spans="1:16" x14ac:dyDescent="0.3">
      <c r="A116" s="7" t="s">
        <v>261</v>
      </c>
      <c r="B116" t="s">
        <v>265</v>
      </c>
      <c r="C116" s="7" t="s">
        <v>258</v>
      </c>
      <c r="D116" s="1">
        <v>45379</v>
      </c>
      <c r="E116" s="9">
        <v>0.25</v>
      </c>
      <c r="F116" s="9">
        <v>0.25694444444444398</v>
      </c>
      <c r="H116" s="4" t="s">
        <v>143</v>
      </c>
      <c r="I116" s="5" t="s">
        <v>145</v>
      </c>
      <c r="J116" s="5" t="s">
        <v>146</v>
      </c>
      <c r="K116">
        <v>2</v>
      </c>
      <c r="L116">
        <v>1</v>
      </c>
      <c r="M116">
        <v>2</v>
      </c>
      <c r="N116">
        <v>4</v>
      </c>
      <c r="O116">
        <v>1</v>
      </c>
      <c r="P116">
        <v>3</v>
      </c>
    </row>
    <row r="117" spans="1:16" x14ac:dyDescent="0.3">
      <c r="A117" s="7" t="s">
        <v>286</v>
      </c>
      <c r="B117" t="s">
        <v>285</v>
      </c>
      <c r="C117" s="7" t="s">
        <v>258</v>
      </c>
      <c r="D117" s="1">
        <v>45379</v>
      </c>
      <c r="E117" s="9">
        <v>0.25</v>
      </c>
      <c r="F117" s="9">
        <v>0.25694444444444398</v>
      </c>
      <c r="H117" s="4" t="s">
        <v>143</v>
      </c>
      <c r="I117" s="5" t="s">
        <v>145</v>
      </c>
      <c r="J117" s="5" t="s">
        <v>146</v>
      </c>
      <c r="K117">
        <v>2</v>
      </c>
      <c r="L117">
        <v>1</v>
      </c>
      <c r="M117">
        <v>2</v>
      </c>
      <c r="N117">
        <v>4</v>
      </c>
      <c r="O117">
        <v>1</v>
      </c>
      <c r="P117">
        <v>3</v>
      </c>
    </row>
    <row r="118" spans="1:16" x14ac:dyDescent="0.3">
      <c r="A118" s="7" t="s">
        <v>259</v>
      </c>
      <c r="B118" t="s">
        <v>266</v>
      </c>
      <c r="C118" s="7" t="s">
        <v>258</v>
      </c>
      <c r="D118" s="1">
        <v>45379</v>
      </c>
      <c r="E118" s="9">
        <v>0.25</v>
      </c>
      <c r="F118" s="9">
        <v>0.25694444444444398</v>
      </c>
      <c r="H118" t="s">
        <v>148</v>
      </c>
      <c r="I118" s="2" t="s">
        <v>149</v>
      </c>
      <c r="J118" s="2" t="s">
        <v>150</v>
      </c>
      <c r="K118">
        <v>4</v>
      </c>
      <c r="L118">
        <v>1</v>
      </c>
      <c r="M118">
        <v>1</v>
      </c>
      <c r="N118">
        <v>3</v>
      </c>
      <c r="O118">
        <v>1</v>
      </c>
      <c r="P118">
        <v>1</v>
      </c>
    </row>
    <row r="119" spans="1:16" x14ac:dyDescent="0.3">
      <c r="A119" s="7" t="s">
        <v>260</v>
      </c>
      <c r="B119" t="s">
        <v>257</v>
      </c>
      <c r="C119" s="7" t="s">
        <v>258</v>
      </c>
      <c r="D119" s="1">
        <v>45379</v>
      </c>
      <c r="E119" s="9">
        <v>0.25</v>
      </c>
      <c r="F119" s="9">
        <v>0.25694444444444398</v>
      </c>
      <c r="H119" t="s">
        <v>148</v>
      </c>
      <c r="I119" s="2" t="s">
        <v>149</v>
      </c>
      <c r="J119" s="2" t="s">
        <v>150</v>
      </c>
      <c r="K119">
        <v>4</v>
      </c>
      <c r="L119">
        <v>1</v>
      </c>
      <c r="M119">
        <v>1</v>
      </c>
      <c r="N119">
        <v>3</v>
      </c>
      <c r="O119">
        <v>1</v>
      </c>
      <c r="P119">
        <v>1</v>
      </c>
    </row>
    <row r="120" spans="1:16" x14ac:dyDescent="0.3">
      <c r="A120" s="7" t="s">
        <v>261</v>
      </c>
      <c r="B120" t="s">
        <v>265</v>
      </c>
      <c r="C120" s="7" t="s">
        <v>258</v>
      </c>
      <c r="D120" s="1">
        <v>45379</v>
      </c>
      <c r="E120" s="9">
        <v>0.25</v>
      </c>
      <c r="F120" s="9">
        <v>0.25694444444444398</v>
      </c>
      <c r="H120" t="s">
        <v>148</v>
      </c>
      <c r="I120" s="2" t="s">
        <v>149</v>
      </c>
      <c r="J120" s="2" t="s">
        <v>150</v>
      </c>
      <c r="K120">
        <v>4</v>
      </c>
      <c r="L120">
        <v>1</v>
      </c>
      <c r="M120">
        <v>1</v>
      </c>
      <c r="N120">
        <v>3</v>
      </c>
      <c r="O120">
        <v>1</v>
      </c>
      <c r="P120">
        <v>1</v>
      </c>
    </row>
    <row r="121" spans="1:16" x14ac:dyDescent="0.3">
      <c r="A121" s="7" t="s">
        <v>286</v>
      </c>
      <c r="B121" t="s">
        <v>285</v>
      </c>
      <c r="C121" s="7" t="s">
        <v>258</v>
      </c>
      <c r="D121" s="1">
        <v>45379</v>
      </c>
      <c r="E121" s="9">
        <v>0.25</v>
      </c>
      <c r="F121" s="9">
        <v>0.25694444444444398</v>
      </c>
      <c r="H121" t="s">
        <v>148</v>
      </c>
      <c r="I121" s="2" t="s">
        <v>149</v>
      </c>
      <c r="J121" s="2" t="s">
        <v>150</v>
      </c>
      <c r="K121">
        <v>4</v>
      </c>
      <c r="L121">
        <v>1</v>
      </c>
      <c r="M121">
        <v>1</v>
      </c>
      <c r="N121">
        <v>3</v>
      </c>
      <c r="O121">
        <v>1</v>
      </c>
      <c r="P121">
        <v>1</v>
      </c>
    </row>
    <row r="122" spans="1:16" x14ac:dyDescent="0.3">
      <c r="A122" s="7" t="s">
        <v>262</v>
      </c>
      <c r="B122" t="s">
        <v>264</v>
      </c>
      <c r="C122" s="7" t="s">
        <v>258</v>
      </c>
      <c r="D122" s="1">
        <v>45379</v>
      </c>
      <c r="E122" s="9">
        <v>0.25</v>
      </c>
      <c r="F122" s="9">
        <v>0.25694444444444398</v>
      </c>
      <c r="H122" t="s">
        <v>148</v>
      </c>
      <c r="I122" s="2" t="s">
        <v>149</v>
      </c>
      <c r="J122" s="2" t="s">
        <v>150</v>
      </c>
      <c r="K122">
        <v>4</v>
      </c>
      <c r="L122">
        <v>1</v>
      </c>
      <c r="M122">
        <v>1</v>
      </c>
      <c r="N122">
        <v>3</v>
      </c>
      <c r="O122">
        <v>1</v>
      </c>
      <c r="P122">
        <v>1</v>
      </c>
    </row>
    <row r="123" spans="1:16" x14ac:dyDescent="0.3">
      <c r="A123" s="7" t="s">
        <v>271</v>
      </c>
      <c r="B123" t="s">
        <v>272</v>
      </c>
      <c r="C123" s="7" t="s">
        <v>258</v>
      </c>
      <c r="D123" s="1">
        <v>45379</v>
      </c>
      <c r="E123" s="9">
        <v>0.25</v>
      </c>
      <c r="F123" s="9">
        <v>0.25694444444444398</v>
      </c>
      <c r="H123" t="s">
        <v>148</v>
      </c>
      <c r="I123" s="2" t="s">
        <v>149</v>
      </c>
      <c r="J123" s="2" t="s">
        <v>150</v>
      </c>
      <c r="K123">
        <v>4</v>
      </c>
      <c r="L123">
        <v>1</v>
      </c>
      <c r="M123">
        <v>1</v>
      </c>
      <c r="N123">
        <v>3</v>
      </c>
      <c r="O123">
        <v>1</v>
      </c>
      <c r="P123">
        <v>1</v>
      </c>
    </row>
    <row r="124" spans="1:16" x14ac:dyDescent="0.3">
      <c r="A124" s="7" t="s">
        <v>259</v>
      </c>
      <c r="B124" t="s">
        <v>266</v>
      </c>
      <c r="C124" s="7" t="s">
        <v>258</v>
      </c>
      <c r="D124" s="1">
        <v>45415</v>
      </c>
      <c r="E124" s="17">
        <v>0.25277777777777777</v>
      </c>
      <c r="F124" s="17">
        <v>0.25972222222222224</v>
      </c>
      <c r="H124" s="4" t="s">
        <v>152</v>
      </c>
      <c r="I124" s="5" t="s">
        <v>153</v>
      </c>
      <c r="J124" s="5" t="s">
        <v>154</v>
      </c>
      <c r="K124">
        <v>3</v>
      </c>
      <c r="L124">
        <v>1</v>
      </c>
      <c r="M124">
        <v>1</v>
      </c>
      <c r="N124">
        <v>4</v>
      </c>
      <c r="O124">
        <v>3</v>
      </c>
      <c r="P124">
        <v>1</v>
      </c>
    </row>
    <row r="125" spans="1:16" x14ac:dyDescent="0.3">
      <c r="A125" s="7" t="s">
        <v>262</v>
      </c>
      <c r="B125" t="s">
        <v>264</v>
      </c>
      <c r="C125" s="7" t="s">
        <v>258</v>
      </c>
      <c r="D125" s="1">
        <v>45415</v>
      </c>
      <c r="E125" s="17">
        <v>0.25277777777777777</v>
      </c>
      <c r="F125" s="17">
        <v>0.25972222222222224</v>
      </c>
      <c r="H125" s="4" t="s">
        <v>152</v>
      </c>
      <c r="I125" s="5" t="s">
        <v>153</v>
      </c>
      <c r="J125" s="5" t="s">
        <v>154</v>
      </c>
      <c r="K125">
        <v>3</v>
      </c>
      <c r="L125">
        <v>1</v>
      </c>
      <c r="M125">
        <v>1</v>
      </c>
      <c r="N125">
        <v>4</v>
      </c>
      <c r="O125">
        <v>3</v>
      </c>
      <c r="P125">
        <v>1</v>
      </c>
    </row>
    <row r="126" spans="1:16" x14ac:dyDescent="0.3">
      <c r="A126" s="7" t="s">
        <v>261</v>
      </c>
      <c r="B126" t="s">
        <v>265</v>
      </c>
      <c r="C126" s="7" t="s">
        <v>258</v>
      </c>
      <c r="D126" s="1">
        <v>45415</v>
      </c>
      <c r="E126" s="17">
        <v>0.25277777777777777</v>
      </c>
      <c r="F126" s="17">
        <v>0.25972222222222224</v>
      </c>
      <c r="H126" s="4" t="s">
        <v>152</v>
      </c>
      <c r="I126" s="5" t="s">
        <v>153</v>
      </c>
      <c r="J126" s="5" t="s">
        <v>154</v>
      </c>
      <c r="K126">
        <v>3</v>
      </c>
      <c r="L126">
        <v>1</v>
      </c>
      <c r="M126">
        <v>1</v>
      </c>
      <c r="N126">
        <v>4</v>
      </c>
      <c r="O126">
        <v>3</v>
      </c>
      <c r="P126">
        <v>1</v>
      </c>
    </row>
    <row r="127" spans="1:16" x14ac:dyDescent="0.3">
      <c r="A127" s="7" t="s">
        <v>260</v>
      </c>
      <c r="B127" t="s">
        <v>257</v>
      </c>
      <c r="C127" s="7" t="s">
        <v>258</v>
      </c>
      <c r="D127" s="1">
        <v>45415</v>
      </c>
      <c r="E127" s="17">
        <v>0.25277777777777777</v>
      </c>
      <c r="F127" s="17">
        <v>0.25972222222222224</v>
      </c>
      <c r="H127" s="4" t="s">
        <v>152</v>
      </c>
      <c r="I127" s="5" t="s">
        <v>153</v>
      </c>
      <c r="J127" s="5" t="s">
        <v>154</v>
      </c>
      <c r="K127">
        <v>3</v>
      </c>
      <c r="L127">
        <v>1</v>
      </c>
      <c r="M127">
        <v>1</v>
      </c>
      <c r="N127">
        <v>4</v>
      </c>
      <c r="O127">
        <v>3</v>
      </c>
      <c r="P127">
        <v>1</v>
      </c>
    </row>
    <row r="128" spans="1:16" x14ac:dyDescent="0.3">
      <c r="A128" s="7" t="s">
        <v>271</v>
      </c>
      <c r="B128" t="s">
        <v>272</v>
      </c>
      <c r="C128" s="7" t="s">
        <v>258</v>
      </c>
      <c r="D128" s="1">
        <v>45415</v>
      </c>
      <c r="E128" s="17">
        <v>0.25277777777777777</v>
      </c>
      <c r="F128" s="17">
        <v>0.25972222222222224</v>
      </c>
      <c r="H128" s="4" t="s">
        <v>152</v>
      </c>
      <c r="I128" s="5" t="s">
        <v>153</v>
      </c>
      <c r="J128" s="5" t="s">
        <v>154</v>
      </c>
      <c r="K128">
        <v>3</v>
      </c>
      <c r="L128">
        <v>1</v>
      </c>
      <c r="M128">
        <v>1</v>
      </c>
      <c r="N128">
        <v>4</v>
      </c>
      <c r="O128">
        <v>3</v>
      </c>
      <c r="P128">
        <v>1</v>
      </c>
    </row>
    <row r="129" spans="1:16" x14ac:dyDescent="0.3">
      <c r="A129" s="7" t="s">
        <v>259</v>
      </c>
      <c r="B129" t="s">
        <v>266</v>
      </c>
      <c r="C129" s="7" t="s">
        <v>258</v>
      </c>
      <c r="D129" s="1">
        <v>45415</v>
      </c>
      <c r="E129" s="9">
        <v>0.25</v>
      </c>
      <c r="F129" s="9">
        <v>0.25694444444444398</v>
      </c>
      <c r="H129" t="s">
        <v>28</v>
      </c>
      <c r="I129" s="2" t="s">
        <v>30</v>
      </c>
      <c r="J129" s="2" t="s">
        <v>31</v>
      </c>
      <c r="K129">
        <v>4</v>
      </c>
      <c r="L129">
        <v>1</v>
      </c>
      <c r="M129">
        <v>1</v>
      </c>
      <c r="N129">
        <v>3</v>
      </c>
      <c r="O129">
        <v>1</v>
      </c>
      <c r="P129">
        <v>1</v>
      </c>
    </row>
    <row r="130" spans="1:16" x14ac:dyDescent="0.3">
      <c r="A130" s="7" t="s">
        <v>262</v>
      </c>
      <c r="B130" t="s">
        <v>264</v>
      </c>
      <c r="C130" s="7" t="s">
        <v>258</v>
      </c>
      <c r="D130" s="1">
        <v>45415</v>
      </c>
      <c r="E130" s="9">
        <v>0.25</v>
      </c>
      <c r="F130" s="9">
        <v>0.25694444444444398</v>
      </c>
      <c r="H130" t="s">
        <v>28</v>
      </c>
      <c r="I130" s="2" t="s">
        <v>30</v>
      </c>
      <c r="J130" s="2" t="s">
        <v>31</v>
      </c>
      <c r="K130">
        <v>4</v>
      </c>
      <c r="L130">
        <v>1</v>
      </c>
      <c r="M130">
        <v>1</v>
      </c>
      <c r="N130">
        <v>3</v>
      </c>
      <c r="O130">
        <v>1</v>
      </c>
      <c r="P130">
        <v>1</v>
      </c>
    </row>
    <row r="131" spans="1:16" x14ac:dyDescent="0.3">
      <c r="A131" s="7" t="s">
        <v>271</v>
      </c>
      <c r="B131" t="s">
        <v>272</v>
      </c>
      <c r="C131" s="7" t="s">
        <v>258</v>
      </c>
      <c r="D131" s="1">
        <v>45415</v>
      </c>
      <c r="E131" s="9">
        <v>0.25</v>
      </c>
      <c r="F131" s="9">
        <v>0.25694444444444398</v>
      </c>
      <c r="H131" t="s">
        <v>28</v>
      </c>
      <c r="I131" s="2" t="s">
        <v>30</v>
      </c>
      <c r="J131" s="2" t="s">
        <v>31</v>
      </c>
      <c r="K131">
        <v>4</v>
      </c>
      <c r="L131">
        <v>1</v>
      </c>
      <c r="M131">
        <v>1</v>
      </c>
      <c r="N131">
        <v>3</v>
      </c>
      <c r="O131">
        <v>1</v>
      </c>
      <c r="P131">
        <v>1</v>
      </c>
    </row>
    <row r="132" spans="1:16" x14ac:dyDescent="0.3">
      <c r="A132" s="7" t="s">
        <v>261</v>
      </c>
      <c r="B132" t="s">
        <v>265</v>
      </c>
      <c r="C132" s="7" t="s">
        <v>258</v>
      </c>
      <c r="D132" s="1">
        <v>45415</v>
      </c>
      <c r="E132" s="9">
        <v>0.25</v>
      </c>
      <c r="F132" s="9">
        <v>0.25694444444444398</v>
      </c>
      <c r="H132" t="s">
        <v>28</v>
      </c>
      <c r="I132" s="2" t="s">
        <v>30</v>
      </c>
      <c r="J132" s="2" t="s">
        <v>31</v>
      </c>
      <c r="K132">
        <v>4</v>
      </c>
      <c r="L132">
        <v>1</v>
      </c>
      <c r="M132">
        <v>1</v>
      </c>
      <c r="N132">
        <v>3</v>
      </c>
      <c r="O132">
        <v>1</v>
      </c>
      <c r="P132">
        <v>1</v>
      </c>
    </row>
    <row r="133" spans="1:16" x14ac:dyDescent="0.3">
      <c r="A133" s="7" t="s">
        <v>260</v>
      </c>
      <c r="B133" t="s">
        <v>257</v>
      </c>
      <c r="C133" s="7" t="s">
        <v>258</v>
      </c>
      <c r="D133" s="1">
        <v>45415</v>
      </c>
      <c r="E133" s="9">
        <v>0.25</v>
      </c>
      <c r="F133" s="9">
        <v>0.25694444444444398</v>
      </c>
      <c r="H133" t="s">
        <v>28</v>
      </c>
      <c r="I133" s="2" t="s">
        <v>30</v>
      </c>
      <c r="J133" s="2" t="s">
        <v>31</v>
      </c>
      <c r="K133">
        <v>4</v>
      </c>
      <c r="L133">
        <v>1</v>
      </c>
      <c r="M133">
        <v>1</v>
      </c>
      <c r="N133">
        <v>3</v>
      </c>
      <c r="O133">
        <v>1</v>
      </c>
      <c r="P133">
        <v>1</v>
      </c>
    </row>
    <row r="134" spans="1:16" x14ac:dyDescent="0.3">
      <c r="A134" s="7" t="s">
        <v>262</v>
      </c>
      <c r="B134" t="s">
        <v>264</v>
      </c>
      <c r="C134" s="7" t="s">
        <v>258</v>
      </c>
      <c r="D134" s="1">
        <v>45415</v>
      </c>
      <c r="E134" s="9">
        <v>0.25</v>
      </c>
      <c r="F134" s="9">
        <v>0.25694444444444398</v>
      </c>
      <c r="H134" s="4" t="s">
        <v>156</v>
      </c>
      <c r="I134" s="5" t="s">
        <v>157</v>
      </c>
      <c r="J134" s="5" t="s">
        <v>158</v>
      </c>
      <c r="K134">
        <v>3</v>
      </c>
      <c r="L134">
        <v>1</v>
      </c>
      <c r="M134">
        <v>1</v>
      </c>
      <c r="N134">
        <v>3</v>
      </c>
      <c r="O134">
        <v>1</v>
      </c>
      <c r="P134">
        <v>1</v>
      </c>
    </row>
    <row r="135" spans="1:16" x14ac:dyDescent="0.3">
      <c r="A135" s="7" t="s">
        <v>259</v>
      </c>
      <c r="B135" t="s">
        <v>266</v>
      </c>
      <c r="C135" s="7" t="s">
        <v>258</v>
      </c>
      <c r="D135" s="1">
        <v>45415</v>
      </c>
      <c r="E135" s="9">
        <v>0.25</v>
      </c>
      <c r="F135" s="9">
        <v>0.25694444444444398</v>
      </c>
      <c r="G135" t="s">
        <v>299</v>
      </c>
      <c r="H135" s="4" t="s">
        <v>156</v>
      </c>
      <c r="I135" s="5" t="s">
        <v>157</v>
      </c>
      <c r="J135" s="5" t="s">
        <v>158</v>
      </c>
      <c r="K135">
        <v>3</v>
      </c>
      <c r="L135">
        <v>1</v>
      </c>
      <c r="M135">
        <v>1</v>
      </c>
      <c r="N135">
        <v>3</v>
      </c>
      <c r="O135">
        <v>1</v>
      </c>
      <c r="P135">
        <v>1</v>
      </c>
    </row>
    <row r="136" spans="1:16" x14ac:dyDescent="0.3">
      <c r="A136" s="7" t="s">
        <v>271</v>
      </c>
      <c r="B136" t="s">
        <v>272</v>
      </c>
      <c r="C136" s="7" t="s">
        <v>258</v>
      </c>
      <c r="D136" s="1">
        <v>45415</v>
      </c>
      <c r="E136" s="9">
        <v>0.25</v>
      </c>
      <c r="F136" s="9">
        <v>0.25694444444444398</v>
      </c>
      <c r="H136" s="4" t="s">
        <v>156</v>
      </c>
      <c r="I136" s="5" t="s">
        <v>157</v>
      </c>
      <c r="J136" s="5" t="s">
        <v>158</v>
      </c>
      <c r="K136">
        <v>3</v>
      </c>
      <c r="L136">
        <v>1</v>
      </c>
      <c r="M136">
        <v>1</v>
      </c>
      <c r="N136">
        <v>3</v>
      </c>
      <c r="O136">
        <v>1</v>
      </c>
      <c r="P136">
        <v>1</v>
      </c>
    </row>
    <row r="137" spans="1:16" x14ac:dyDescent="0.3">
      <c r="A137" s="7" t="s">
        <v>261</v>
      </c>
      <c r="B137" t="s">
        <v>265</v>
      </c>
      <c r="C137" s="7" t="s">
        <v>258</v>
      </c>
      <c r="D137" s="1">
        <v>45415</v>
      </c>
      <c r="E137" s="9">
        <v>0.25</v>
      </c>
      <c r="F137" s="9">
        <v>0.25694444444444398</v>
      </c>
      <c r="H137" s="4" t="s">
        <v>156</v>
      </c>
      <c r="I137" s="5" t="s">
        <v>157</v>
      </c>
      <c r="J137" s="5" t="s">
        <v>158</v>
      </c>
      <c r="K137">
        <v>3</v>
      </c>
      <c r="L137">
        <v>1</v>
      </c>
      <c r="M137">
        <v>1</v>
      </c>
      <c r="N137">
        <v>3</v>
      </c>
      <c r="O137">
        <v>1</v>
      </c>
      <c r="P137">
        <v>1</v>
      </c>
    </row>
    <row r="138" spans="1:16" x14ac:dyDescent="0.3">
      <c r="A138" s="7" t="s">
        <v>260</v>
      </c>
      <c r="B138" t="s">
        <v>257</v>
      </c>
      <c r="C138" s="7" t="s">
        <v>258</v>
      </c>
      <c r="D138" s="1">
        <v>45415</v>
      </c>
      <c r="E138" s="9">
        <v>0.25</v>
      </c>
      <c r="F138" s="9">
        <v>0.25694444444444398</v>
      </c>
      <c r="H138" s="4" t="s">
        <v>156</v>
      </c>
      <c r="I138" s="5" t="s">
        <v>157</v>
      </c>
      <c r="J138" s="5" t="s">
        <v>158</v>
      </c>
      <c r="K138">
        <v>3</v>
      </c>
      <c r="L138">
        <v>1</v>
      </c>
      <c r="M138">
        <v>1</v>
      </c>
      <c r="N138">
        <v>3</v>
      </c>
      <c r="O138">
        <v>1</v>
      </c>
      <c r="P138">
        <v>1</v>
      </c>
    </row>
    <row r="139" spans="1:16" x14ac:dyDescent="0.3">
      <c r="A139" s="7" t="s">
        <v>259</v>
      </c>
      <c r="B139" t="s">
        <v>266</v>
      </c>
      <c r="C139" s="7" t="s">
        <v>258</v>
      </c>
      <c r="D139" s="1">
        <v>45415</v>
      </c>
      <c r="E139" s="9">
        <v>0.25</v>
      </c>
      <c r="F139" s="9">
        <v>0.25694444444444398</v>
      </c>
      <c r="H139" t="s">
        <v>160</v>
      </c>
      <c r="I139" s="2" t="s">
        <v>161</v>
      </c>
      <c r="J139" s="2" t="s">
        <v>162</v>
      </c>
      <c r="K139">
        <v>2</v>
      </c>
      <c r="L139">
        <v>1</v>
      </c>
      <c r="M139">
        <v>1</v>
      </c>
      <c r="N139">
        <v>4</v>
      </c>
      <c r="O139">
        <v>1</v>
      </c>
      <c r="P139">
        <v>1</v>
      </c>
    </row>
    <row r="140" spans="1:16" x14ac:dyDescent="0.3">
      <c r="A140" s="7" t="s">
        <v>260</v>
      </c>
      <c r="B140" t="s">
        <v>257</v>
      </c>
      <c r="C140" s="7" t="s">
        <v>258</v>
      </c>
      <c r="D140" s="1">
        <v>45415</v>
      </c>
      <c r="E140" s="9">
        <v>0.25</v>
      </c>
      <c r="F140" s="9">
        <v>0.25694444444444398</v>
      </c>
      <c r="H140" t="s">
        <v>160</v>
      </c>
      <c r="I140" s="2" t="s">
        <v>161</v>
      </c>
      <c r="J140" s="2" t="s">
        <v>162</v>
      </c>
      <c r="K140">
        <v>2</v>
      </c>
      <c r="L140">
        <v>1</v>
      </c>
      <c r="M140">
        <v>1</v>
      </c>
      <c r="N140">
        <v>4</v>
      </c>
      <c r="O140">
        <v>1</v>
      </c>
      <c r="P140">
        <v>1</v>
      </c>
    </row>
    <row r="141" spans="1:16" x14ac:dyDescent="0.3">
      <c r="A141" s="7" t="s">
        <v>261</v>
      </c>
      <c r="B141" t="s">
        <v>265</v>
      </c>
      <c r="C141" s="7" t="s">
        <v>258</v>
      </c>
      <c r="D141" s="1">
        <v>45415</v>
      </c>
      <c r="E141" s="9">
        <v>0.25</v>
      </c>
      <c r="F141" s="9">
        <v>0.25694444444444398</v>
      </c>
      <c r="H141" t="s">
        <v>160</v>
      </c>
      <c r="I141" s="2" t="s">
        <v>161</v>
      </c>
      <c r="J141" s="2" t="s">
        <v>162</v>
      </c>
      <c r="K141">
        <v>2</v>
      </c>
      <c r="L141">
        <v>1</v>
      </c>
      <c r="M141">
        <v>1</v>
      </c>
      <c r="N141">
        <v>4</v>
      </c>
      <c r="O141">
        <v>1</v>
      </c>
      <c r="P141">
        <v>1</v>
      </c>
    </row>
    <row r="142" spans="1:16" x14ac:dyDescent="0.3">
      <c r="A142" s="7" t="s">
        <v>262</v>
      </c>
      <c r="B142" t="s">
        <v>264</v>
      </c>
      <c r="C142" s="7" t="s">
        <v>258</v>
      </c>
      <c r="D142" s="1">
        <v>45415</v>
      </c>
      <c r="E142" s="9">
        <v>0.25</v>
      </c>
      <c r="F142" s="9">
        <v>0.25694444444444398</v>
      </c>
      <c r="H142" t="s">
        <v>160</v>
      </c>
      <c r="I142" s="2" t="s">
        <v>161</v>
      </c>
      <c r="J142" s="2" t="s">
        <v>162</v>
      </c>
      <c r="K142">
        <v>2</v>
      </c>
      <c r="L142">
        <v>1</v>
      </c>
      <c r="M142">
        <v>1</v>
      </c>
      <c r="N142">
        <v>4</v>
      </c>
      <c r="O142">
        <v>1</v>
      </c>
      <c r="P142">
        <v>1</v>
      </c>
    </row>
    <row r="143" spans="1:16" x14ac:dyDescent="0.3">
      <c r="A143" s="7" t="s">
        <v>271</v>
      </c>
      <c r="B143" t="s">
        <v>272</v>
      </c>
      <c r="C143" s="7" t="s">
        <v>258</v>
      </c>
      <c r="D143" s="1">
        <v>45415</v>
      </c>
      <c r="E143" s="9">
        <v>0.25</v>
      </c>
      <c r="F143" s="9">
        <v>0.25694444444444398</v>
      </c>
      <c r="H143" t="s">
        <v>160</v>
      </c>
      <c r="I143" s="2" t="s">
        <v>161</v>
      </c>
      <c r="J143" s="2" t="s">
        <v>162</v>
      </c>
      <c r="K143">
        <v>2</v>
      </c>
      <c r="L143">
        <v>1</v>
      </c>
      <c r="M143">
        <v>1</v>
      </c>
      <c r="N143">
        <v>4</v>
      </c>
      <c r="O143">
        <v>1</v>
      </c>
      <c r="P143">
        <v>1</v>
      </c>
    </row>
    <row r="144" spans="1:16" x14ac:dyDescent="0.3">
      <c r="A144" s="7" t="s">
        <v>273</v>
      </c>
      <c r="B144" t="s">
        <v>275</v>
      </c>
      <c r="C144" s="7" t="s">
        <v>274</v>
      </c>
      <c r="D144" s="1">
        <v>45415</v>
      </c>
      <c r="E144" s="9">
        <v>0.25</v>
      </c>
      <c r="F144" s="9">
        <v>0.25694444444444398</v>
      </c>
      <c r="H144" t="s">
        <v>160</v>
      </c>
      <c r="I144" s="2" t="s">
        <v>161</v>
      </c>
      <c r="J144" s="2" t="s">
        <v>162</v>
      </c>
      <c r="K144">
        <v>2</v>
      </c>
      <c r="L144">
        <v>1</v>
      </c>
      <c r="M144">
        <v>1</v>
      </c>
      <c r="N144">
        <v>4</v>
      </c>
      <c r="O144">
        <v>1</v>
      </c>
      <c r="P144">
        <v>1</v>
      </c>
    </row>
    <row r="145" spans="1:16" x14ac:dyDescent="0.3">
      <c r="A145" s="7" t="s">
        <v>262</v>
      </c>
      <c r="B145" t="s">
        <v>264</v>
      </c>
      <c r="C145" s="7" t="s">
        <v>258</v>
      </c>
      <c r="D145" s="1">
        <v>45342</v>
      </c>
      <c r="E145" s="17">
        <v>0.24583333333333332</v>
      </c>
      <c r="F145" s="17">
        <v>0.25277777777777777</v>
      </c>
      <c r="H145" s="4" t="s">
        <v>165</v>
      </c>
      <c r="I145" s="5" t="s">
        <v>170</v>
      </c>
      <c r="J145" s="5" t="s">
        <v>171</v>
      </c>
      <c r="K145">
        <v>1</v>
      </c>
      <c r="L145">
        <v>1</v>
      </c>
      <c r="M145">
        <v>1</v>
      </c>
      <c r="N145">
        <v>3</v>
      </c>
      <c r="O145">
        <v>1</v>
      </c>
      <c r="P145">
        <v>1</v>
      </c>
    </row>
    <row r="146" spans="1:16" x14ac:dyDescent="0.3">
      <c r="A146" s="7" t="s">
        <v>286</v>
      </c>
      <c r="B146" t="s">
        <v>285</v>
      </c>
      <c r="C146" s="7" t="s">
        <v>258</v>
      </c>
      <c r="D146" s="1">
        <v>45342</v>
      </c>
      <c r="E146" s="17">
        <v>0.24583333333333332</v>
      </c>
      <c r="F146" s="17">
        <v>0.25277777777777777</v>
      </c>
      <c r="H146" s="4" t="s">
        <v>165</v>
      </c>
      <c r="I146" s="5" t="s">
        <v>170</v>
      </c>
      <c r="J146" s="5" t="s">
        <v>171</v>
      </c>
      <c r="K146">
        <v>1</v>
      </c>
      <c r="L146">
        <v>1</v>
      </c>
      <c r="M146">
        <v>1</v>
      </c>
      <c r="N146">
        <v>3</v>
      </c>
      <c r="O146">
        <v>1</v>
      </c>
      <c r="P146">
        <v>1</v>
      </c>
    </row>
    <row r="147" spans="1:16" x14ac:dyDescent="0.3">
      <c r="A147" s="7" t="s">
        <v>271</v>
      </c>
      <c r="B147" t="s">
        <v>272</v>
      </c>
      <c r="C147" s="7" t="s">
        <v>258</v>
      </c>
      <c r="D147" s="1">
        <v>45342</v>
      </c>
      <c r="E147" s="17">
        <v>0.24583333333333332</v>
      </c>
      <c r="F147" s="17">
        <v>0.25277777777777777</v>
      </c>
      <c r="H147" s="4" t="s">
        <v>165</v>
      </c>
      <c r="I147" s="5" t="s">
        <v>170</v>
      </c>
      <c r="J147" s="5" t="s">
        <v>171</v>
      </c>
      <c r="K147">
        <v>1</v>
      </c>
      <c r="L147">
        <v>1</v>
      </c>
      <c r="M147">
        <v>1</v>
      </c>
      <c r="N147">
        <v>3</v>
      </c>
      <c r="O147">
        <v>1</v>
      </c>
      <c r="P147">
        <v>1</v>
      </c>
    </row>
    <row r="148" spans="1:16" x14ac:dyDescent="0.3">
      <c r="A148" s="7" t="s">
        <v>286</v>
      </c>
      <c r="B148" t="s">
        <v>285</v>
      </c>
      <c r="C148" s="7" t="s">
        <v>258</v>
      </c>
      <c r="D148" s="1">
        <v>45342</v>
      </c>
      <c r="E148" s="17">
        <v>0.25</v>
      </c>
      <c r="F148" s="17">
        <v>0.25694444444444442</v>
      </c>
      <c r="H148" t="s">
        <v>166</v>
      </c>
      <c r="I148" s="2" t="s">
        <v>174</v>
      </c>
      <c r="J148" s="2" t="s">
        <v>175</v>
      </c>
      <c r="K148">
        <v>1</v>
      </c>
      <c r="L148">
        <v>1</v>
      </c>
      <c r="M148">
        <v>1</v>
      </c>
      <c r="N148">
        <v>4</v>
      </c>
      <c r="O148">
        <v>1</v>
      </c>
      <c r="P148">
        <v>1</v>
      </c>
    </row>
    <row r="149" spans="1:16" x14ac:dyDescent="0.3">
      <c r="A149" s="7" t="s">
        <v>262</v>
      </c>
      <c r="B149" t="s">
        <v>264</v>
      </c>
      <c r="C149" s="7" t="s">
        <v>258</v>
      </c>
      <c r="D149" s="1">
        <v>45342</v>
      </c>
      <c r="E149" s="17">
        <v>0.25</v>
      </c>
      <c r="F149" s="17">
        <v>0.25694444444444442</v>
      </c>
      <c r="H149" t="s">
        <v>166</v>
      </c>
      <c r="I149" s="2" t="s">
        <v>174</v>
      </c>
      <c r="J149" s="2" t="s">
        <v>175</v>
      </c>
      <c r="K149">
        <v>1</v>
      </c>
      <c r="L149">
        <v>1</v>
      </c>
      <c r="M149">
        <v>1</v>
      </c>
      <c r="N149">
        <v>4</v>
      </c>
      <c r="O149">
        <v>1</v>
      </c>
      <c r="P149">
        <v>1</v>
      </c>
    </row>
    <row r="150" spans="1:16" x14ac:dyDescent="0.3">
      <c r="A150" s="7" t="s">
        <v>271</v>
      </c>
      <c r="B150" t="s">
        <v>272</v>
      </c>
      <c r="C150" s="7" t="s">
        <v>258</v>
      </c>
      <c r="D150" s="1">
        <v>45342</v>
      </c>
      <c r="E150" s="17">
        <v>0.25</v>
      </c>
      <c r="F150" s="17">
        <v>0.25694444444444398</v>
      </c>
      <c r="H150" t="s">
        <v>166</v>
      </c>
      <c r="I150" s="2" t="s">
        <v>174</v>
      </c>
      <c r="J150" s="2" t="s">
        <v>175</v>
      </c>
      <c r="K150">
        <v>1</v>
      </c>
      <c r="L150">
        <v>1</v>
      </c>
      <c r="M150">
        <v>1</v>
      </c>
      <c r="N150">
        <v>4</v>
      </c>
      <c r="O150">
        <v>1</v>
      </c>
      <c r="P150">
        <v>1</v>
      </c>
    </row>
    <row r="151" spans="1:16" x14ac:dyDescent="0.3">
      <c r="A151" s="7" t="s">
        <v>259</v>
      </c>
      <c r="B151" t="s">
        <v>266</v>
      </c>
      <c r="C151" s="7" t="s">
        <v>258</v>
      </c>
      <c r="D151" s="1">
        <v>45342</v>
      </c>
      <c r="E151" s="17">
        <v>0.25</v>
      </c>
      <c r="F151" s="17">
        <v>0.25694444444444398</v>
      </c>
      <c r="H151" t="s">
        <v>166</v>
      </c>
      <c r="I151" s="2" t="s">
        <v>174</v>
      </c>
      <c r="J151" s="2" t="s">
        <v>175</v>
      </c>
      <c r="K151">
        <v>1</v>
      </c>
      <c r="L151">
        <v>1</v>
      </c>
      <c r="M151">
        <v>1</v>
      </c>
      <c r="N151">
        <v>4</v>
      </c>
      <c r="O151">
        <v>1</v>
      </c>
      <c r="P151">
        <v>1</v>
      </c>
    </row>
    <row r="152" spans="1:16" x14ac:dyDescent="0.3">
      <c r="A152" s="7" t="s">
        <v>261</v>
      </c>
      <c r="B152" t="s">
        <v>265</v>
      </c>
      <c r="C152" s="7" t="s">
        <v>258</v>
      </c>
      <c r="D152" s="1">
        <v>45342</v>
      </c>
      <c r="E152" s="17">
        <v>0.25</v>
      </c>
      <c r="F152" s="17">
        <v>0.25694444444444298</v>
      </c>
      <c r="H152" s="4" t="s">
        <v>167</v>
      </c>
      <c r="I152" s="5" t="s">
        <v>177</v>
      </c>
      <c r="J152" s="5" t="s">
        <v>178</v>
      </c>
      <c r="K152">
        <v>1</v>
      </c>
      <c r="L152">
        <v>1</v>
      </c>
      <c r="M152">
        <v>1</v>
      </c>
      <c r="N152">
        <v>5</v>
      </c>
      <c r="O152">
        <v>1</v>
      </c>
      <c r="P152">
        <v>1</v>
      </c>
    </row>
    <row r="153" spans="1:16" x14ac:dyDescent="0.3">
      <c r="A153" s="7" t="s">
        <v>259</v>
      </c>
      <c r="B153" t="s">
        <v>266</v>
      </c>
      <c r="C153" s="7" t="s">
        <v>258</v>
      </c>
      <c r="D153" s="1">
        <v>45342</v>
      </c>
      <c r="E153" s="17">
        <v>0.25</v>
      </c>
      <c r="F153" s="17">
        <v>0.25694444444444298</v>
      </c>
      <c r="H153" s="4" t="s">
        <v>167</v>
      </c>
      <c r="I153" s="5" t="s">
        <v>177</v>
      </c>
      <c r="J153" s="5" t="s">
        <v>178</v>
      </c>
      <c r="K153">
        <v>1</v>
      </c>
      <c r="L153">
        <v>1</v>
      </c>
      <c r="M153">
        <v>1</v>
      </c>
      <c r="N153">
        <v>5</v>
      </c>
      <c r="O153">
        <v>1</v>
      </c>
      <c r="P153">
        <v>1</v>
      </c>
    </row>
    <row r="154" spans="1:16" x14ac:dyDescent="0.3">
      <c r="A154" s="7" t="s">
        <v>286</v>
      </c>
      <c r="B154" t="s">
        <v>285</v>
      </c>
      <c r="C154" s="7" t="s">
        <v>258</v>
      </c>
      <c r="D154" s="1">
        <v>45342</v>
      </c>
      <c r="E154" s="17">
        <v>0.25</v>
      </c>
      <c r="F154" s="17">
        <v>0.25694444444444298</v>
      </c>
      <c r="G154" t="s">
        <v>300</v>
      </c>
      <c r="H154" s="4" t="s">
        <v>167</v>
      </c>
      <c r="I154" s="5" t="s">
        <v>177</v>
      </c>
      <c r="J154" s="5" t="s">
        <v>178</v>
      </c>
      <c r="K154">
        <v>1</v>
      </c>
      <c r="L154">
        <v>1</v>
      </c>
      <c r="M154">
        <v>1</v>
      </c>
      <c r="N154">
        <v>5</v>
      </c>
      <c r="O154">
        <v>1</v>
      </c>
      <c r="P154">
        <v>1</v>
      </c>
    </row>
    <row r="155" spans="1:16" x14ac:dyDescent="0.3">
      <c r="A155" s="7" t="s">
        <v>262</v>
      </c>
      <c r="B155" t="s">
        <v>264</v>
      </c>
      <c r="C155" s="7" t="s">
        <v>258</v>
      </c>
      <c r="D155" s="1">
        <v>45342</v>
      </c>
      <c r="E155" s="17">
        <v>0.25</v>
      </c>
      <c r="F155" s="17">
        <v>0.25694444444444298</v>
      </c>
      <c r="H155" s="4" t="s">
        <v>167</v>
      </c>
      <c r="I155" s="5" t="s">
        <v>177</v>
      </c>
      <c r="J155" s="5" t="s">
        <v>178</v>
      </c>
      <c r="K155">
        <v>1</v>
      </c>
      <c r="L155">
        <v>1</v>
      </c>
      <c r="M155">
        <v>1</v>
      </c>
      <c r="N155">
        <v>5</v>
      </c>
      <c r="O155">
        <v>1</v>
      </c>
      <c r="P155">
        <v>1</v>
      </c>
    </row>
    <row r="156" spans="1:16" x14ac:dyDescent="0.3">
      <c r="A156" s="7" t="s">
        <v>281</v>
      </c>
      <c r="B156" t="s">
        <v>280</v>
      </c>
      <c r="C156" s="7" t="s">
        <v>274</v>
      </c>
      <c r="D156" s="1">
        <v>45342</v>
      </c>
      <c r="E156" s="17">
        <v>0.25</v>
      </c>
      <c r="F156" s="17">
        <v>0.25694444444444298</v>
      </c>
      <c r="H156" s="4" t="s">
        <v>167</v>
      </c>
      <c r="I156" s="5" t="s">
        <v>177</v>
      </c>
      <c r="J156" s="5" t="s">
        <v>178</v>
      </c>
      <c r="K156">
        <v>1</v>
      </c>
      <c r="L156">
        <v>1</v>
      </c>
      <c r="M156">
        <v>1</v>
      </c>
      <c r="N156">
        <v>5</v>
      </c>
      <c r="O156">
        <v>1</v>
      </c>
      <c r="P156">
        <v>1</v>
      </c>
    </row>
    <row r="157" spans="1:16" x14ac:dyDescent="0.3">
      <c r="A157" s="7" t="s">
        <v>261</v>
      </c>
      <c r="B157" t="s">
        <v>265</v>
      </c>
      <c r="C157" s="7" t="s">
        <v>258</v>
      </c>
      <c r="D157" s="1">
        <v>45342</v>
      </c>
      <c r="E157" s="17">
        <v>0.25</v>
      </c>
      <c r="F157" s="17">
        <v>0.25694444444444298</v>
      </c>
      <c r="H157" t="s">
        <v>36</v>
      </c>
      <c r="I157" s="2" t="s">
        <v>38</v>
      </c>
      <c r="J157" s="2" t="s">
        <v>39</v>
      </c>
      <c r="K157">
        <v>1</v>
      </c>
      <c r="L157">
        <v>1</v>
      </c>
      <c r="M157">
        <v>1</v>
      </c>
      <c r="N157">
        <v>5</v>
      </c>
      <c r="O157">
        <v>1</v>
      </c>
      <c r="P157">
        <v>1</v>
      </c>
    </row>
    <row r="158" spans="1:16" x14ac:dyDescent="0.3">
      <c r="A158" s="7" t="s">
        <v>259</v>
      </c>
      <c r="B158" t="s">
        <v>266</v>
      </c>
      <c r="C158" s="7" t="s">
        <v>258</v>
      </c>
      <c r="D158" s="1">
        <v>45342</v>
      </c>
      <c r="E158" s="17">
        <v>0.25</v>
      </c>
      <c r="F158" s="17">
        <v>0.25694444444444298</v>
      </c>
      <c r="H158" t="s">
        <v>36</v>
      </c>
      <c r="I158" s="2" t="s">
        <v>38</v>
      </c>
      <c r="J158" s="2" t="s">
        <v>39</v>
      </c>
      <c r="K158">
        <v>1</v>
      </c>
      <c r="L158">
        <v>1</v>
      </c>
      <c r="M158">
        <v>1</v>
      </c>
      <c r="N158">
        <v>5</v>
      </c>
      <c r="O158">
        <v>1</v>
      </c>
      <c r="P158">
        <v>1</v>
      </c>
    </row>
    <row r="159" spans="1:16" x14ac:dyDescent="0.3">
      <c r="A159" s="7" t="s">
        <v>262</v>
      </c>
      <c r="B159" t="s">
        <v>264</v>
      </c>
      <c r="C159" s="7" t="s">
        <v>258</v>
      </c>
      <c r="D159" s="1">
        <v>45342</v>
      </c>
      <c r="E159" s="17">
        <v>0.25</v>
      </c>
      <c r="F159" s="17">
        <v>0.25694444444444298</v>
      </c>
      <c r="H159" t="s">
        <v>36</v>
      </c>
      <c r="I159" s="2" t="s">
        <v>38</v>
      </c>
      <c r="J159" s="2" t="s">
        <v>39</v>
      </c>
      <c r="K159">
        <v>1</v>
      </c>
      <c r="L159">
        <v>1</v>
      </c>
      <c r="M159">
        <v>1</v>
      </c>
      <c r="N159">
        <v>5</v>
      </c>
      <c r="O159">
        <v>1</v>
      </c>
      <c r="P159">
        <v>1</v>
      </c>
    </row>
    <row r="160" spans="1:16" x14ac:dyDescent="0.3">
      <c r="A160" s="7" t="s">
        <v>286</v>
      </c>
      <c r="B160" t="s">
        <v>285</v>
      </c>
      <c r="C160" s="7" t="s">
        <v>258</v>
      </c>
      <c r="D160" s="1">
        <v>45342</v>
      </c>
      <c r="E160" s="17">
        <v>0.25</v>
      </c>
      <c r="F160" s="17">
        <v>0.25694444444444298</v>
      </c>
      <c r="H160" t="s">
        <v>36</v>
      </c>
      <c r="I160" s="2" t="s">
        <v>38</v>
      </c>
      <c r="J160" s="2" t="s">
        <v>39</v>
      </c>
      <c r="K160">
        <v>1</v>
      </c>
      <c r="L160">
        <v>1</v>
      </c>
      <c r="M160">
        <v>1</v>
      </c>
      <c r="N160">
        <v>5</v>
      </c>
      <c r="O160">
        <v>1</v>
      </c>
      <c r="P160">
        <v>1</v>
      </c>
    </row>
    <row r="161" spans="1:16" x14ac:dyDescent="0.3">
      <c r="A161" s="7" t="s">
        <v>281</v>
      </c>
      <c r="B161" t="s">
        <v>280</v>
      </c>
      <c r="C161" t="s">
        <v>274</v>
      </c>
      <c r="D161" s="1">
        <v>45342</v>
      </c>
      <c r="E161" s="17">
        <v>0.25</v>
      </c>
      <c r="F161" s="17">
        <v>0.25694444444444298</v>
      </c>
      <c r="H161" t="s">
        <v>36</v>
      </c>
      <c r="I161" s="2" t="s">
        <v>38</v>
      </c>
      <c r="J161" s="2" t="s">
        <v>39</v>
      </c>
      <c r="K161">
        <v>1</v>
      </c>
      <c r="L161">
        <v>1</v>
      </c>
      <c r="M161">
        <v>1</v>
      </c>
      <c r="N161">
        <v>5</v>
      </c>
      <c r="O161">
        <v>1</v>
      </c>
      <c r="P161">
        <v>1</v>
      </c>
    </row>
    <row r="162" spans="1:16" x14ac:dyDescent="0.3">
      <c r="A162" s="7" t="s">
        <v>284</v>
      </c>
      <c r="B162" t="s">
        <v>283</v>
      </c>
      <c r="C162" s="7" t="s">
        <v>274</v>
      </c>
      <c r="D162" s="1">
        <v>45342</v>
      </c>
      <c r="E162" s="17">
        <v>0.25</v>
      </c>
      <c r="F162" s="17">
        <v>0.25694444444444298</v>
      </c>
      <c r="H162" t="s">
        <v>36</v>
      </c>
      <c r="I162" s="2" t="s">
        <v>38</v>
      </c>
      <c r="J162" s="2" t="s">
        <v>39</v>
      </c>
      <c r="K162">
        <v>1</v>
      </c>
      <c r="L162">
        <v>1</v>
      </c>
      <c r="M162">
        <v>1</v>
      </c>
      <c r="N162">
        <v>5</v>
      </c>
      <c r="O162">
        <v>1</v>
      </c>
      <c r="P162">
        <v>1</v>
      </c>
    </row>
    <row r="163" spans="1:16" x14ac:dyDescent="0.3">
      <c r="A163" s="7" t="s">
        <v>269</v>
      </c>
      <c r="B163" t="s">
        <v>267</v>
      </c>
      <c r="C163" s="7" t="s">
        <v>258</v>
      </c>
      <c r="D163" s="1">
        <v>45342</v>
      </c>
      <c r="E163" s="17">
        <v>0.25</v>
      </c>
      <c r="F163" s="17">
        <v>0.25694444444444298</v>
      </c>
      <c r="H163" t="s">
        <v>36</v>
      </c>
      <c r="I163" s="2" t="s">
        <v>38</v>
      </c>
      <c r="J163" s="2" t="s">
        <v>39</v>
      </c>
      <c r="K163">
        <v>1</v>
      </c>
      <c r="L163">
        <v>1</v>
      </c>
      <c r="M163">
        <v>1</v>
      </c>
      <c r="N163">
        <v>5</v>
      </c>
      <c r="O163">
        <v>1</v>
      </c>
      <c r="P163">
        <v>1</v>
      </c>
    </row>
    <row r="164" spans="1:16" x14ac:dyDescent="0.3">
      <c r="A164" s="7" t="s">
        <v>259</v>
      </c>
      <c r="B164" t="s">
        <v>266</v>
      </c>
      <c r="C164" s="7" t="s">
        <v>258</v>
      </c>
      <c r="D164" s="1">
        <v>45342</v>
      </c>
      <c r="E164" s="17">
        <v>0.25138888888888888</v>
      </c>
      <c r="F164" s="17">
        <v>0.25833333333333336</v>
      </c>
      <c r="H164" s="4" t="s">
        <v>168</v>
      </c>
      <c r="I164" s="5" t="s">
        <v>180</v>
      </c>
      <c r="J164" s="5" t="s">
        <v>181</v>
      </c>
      <c r="K164">
        <v>1</v>
      </c>
      <c r="L164">
        <v>1</v>
      </c>
      <c r="M164">
        <v>1</v>
      </c>
      <c r="N164">
        <v>4</v>
      </c>
      <c r="O164">
        <v>1</v>
      </c>
      <c r="P164">
        <v>1</v>
      </c>
    </row>
    <row r="165" spans="1:16" x14ac:dyDescent="0.3">
      <c r="A165" s="7" t="s">
        <v>262</v>
      </c>
      <c r="B165" t="s">
        <v>264</v>
      </c>
      <c r="C165" s="7" t="s">
        <v>258</v>
      </c>
      <c r="D165" s="1">
        <v>45342</v>
      </c>
      <c r="E165" s="17">
        <v>0.25138888888888888</v>
      </c>
      <c r="F165" s="17">
        <v>0.25833333333333336</v>
      </c>
      <c r="H165" s="4" t="s">
        <v>168</v>
      </c>
      <c r="I165" s="5" t="s">
        <v>180</v>
      </c>
      <c r="J165" s="5" t="s">
        <v>181</v>
      </c>
      <c r="K165">
        <v>1</v>
      </c>
      <c r="L165">
        <v>1</v>
      </c>
      <c r="M165">
        <v>1</v>
      </c>
      <c r="N165">
        <v>4</v>
      </c>
      <c r="O165">
        <v>1</v>
      </c>
      <c r="P165">
        <v>1</v>
      </c>
    </row>
    <row r="166" spans="1:16" x14ac:dyDescent="0.3">
      <c r="A166" s="7" t="s">
        <v>261</v>
      </c>
      <c r="B166" t="s">
        <v>265</v>
      </c>
      <c r="C166" s="7" t="s">
        <v>258</v>
      </c>
      <c r="D166" s="1">
        <v>45342</v>
      </c>
      <c r="E166" s="17">
        <v>0.25138888888888899</v>
      </c>
      <c r="F166" s="17">
        <v>0.25833333333333303</v>
      </c>
      <c r="H166" s="4" t="s">
        <v>168</v>
      </c>
      <c r="I166" s="5" t="s">
        <v>180</v>
      </c>
      <c r="J166" s="5" t="s">
        <v>181</v>
      </c>
      <c r="K166">
        <v>1</v>
      </c>
      <c r="L166">
        <v>1</v>
      </c>
      <c r="M166">
        <v>1</v>
      </c>
      <c r="N166">
        <v>4</v>
      </c>
      <c r="O166">
        <v>1</v>
      </c>
      <c r="P166">
        <v>1</v>
      </c>
    </row>
    <row r="167" spans="1:16" x14ac:dyDescent="0.3">
      <c r="A167" s="7" t="s">
        <v>286</v>
      </c>
      <c r="B167" t="s">
        <v>285</v>
      </c>
      <c r="C167" s="7" t="s">
        <v>258</v>
      </c>
      <c r="D167" s="1">
        <v>45342</v>
      </c>
      <c r="E167" s="17">
        <v>0.25138888888888899</v>
      </c>
      <c r="F167" s="17">
        <v>0.25833333333333303</v>
      </c>
      <c r="H167" s="4" t="s">
        <v>168</v>
      </c>
      <c r="I167" s="5" t="s">
        <v>180</v>
      </c>
      <c r="J167" s="5" t="s">
        <v>181</v>
      </c>
      <c r="K167">
        <v>1</v>
      </c>
      <c r="L167">
        <v>1</v>
      </c>
      <c r="M167">
        <v>1</v>
      </c>
      <c r="N167">
        <v>4</v>
      </c>
      <c r="O167">
        <v>1</v>
      </c>
      <c r="P167">
        <v>1</v>
      </c>
    </row>
    <row r="168" spans="1:16" x14ac:dyDescent="0.3">
      <c r="A168" s="7" t="s">
        <v>284</v>
      </c>
      <c r="B168" t="s">
        <v>283</v>
      </c>
      <c r="C168" s="7" t="s">
        <v>274</v>
      </c>
      <c r="D168" s="1">
        <v>45342</v>
      </c>
      <c r="E168" s="17">
        <v>0.25138888888888899</v>
      </c>
      <c r="F168" s="17">
        <v>0.25833333333333303</v>
      </c>
      <c r="H168" s="4" t="s">
        <v>168</v>
      </c>
      <c r="I168" s="5" t="s">
        <v>180</v>
      </c>
      <c r="J168" s="5" t="s">
        <v>181</v>
      </c>
      <c r="K168">
        <v>1</v>
      </c>
      <c r="L168">
        <v>1</v>
      </c>
      <c r="M168">
        <v>1</v>
      </c>
      <c r="N168">
        <v>4</v>
      </c>
      <c r="O168">
        <v>1</v>
      </c>
      <c r="P168">
        <v>1</v>
      </c>
    </row>
    <row r="169" spans="1:16" x14ac:dyDescent="0.3">
      <c r="A169" s="7" t="s">
        <v>271</v>
      </c>
      <c r="B169" t="s">
        <v>272</v>
      </c>
      <c r="C169" s="7" t="s">
        <v>258</v>
      </c>
      <c r="D169" s="1">
        <v>45342</v>
      </c>
      <c r="E169" s="17">
        <v>0.25138888888888899</v>
      </c>
      <c r="F169" s="17">
        <v>0.25833333333333303</v>
      </c>
      <c r="H169" s="4" t="s">
        <v>168</v>
      </c>
      <c r="I169" s="5" t="s">
        <v>180</v>
      </c>
      <c r="J169" s="5" t="s">
        <v>181</v>
      </c>
      <c r="K169">
        <v>1</v>
      </c>
      <c r="L169">
        <v>1</v>
      </c>
      <c r="M169">
        <v>1</v>
      </c>
      <c r="N169">
        <v>4</v>
      </c>
      <c r="O169">
        <v>1</v>
      </c>
      <c r="P169">
        <v>1</v>
      </c>
    </row>
    <row r="170" spans="1:16" x14ac:dyDescent="0.3">
      <c r="A170" s="7" t="s">
        <v>260</v>
      </c>
      <c r="B170" t="s">
        <v>257</v>
      </c>
      <c r="C170" s="7" t="s">
        <v>258</v>
      </c>
      <c r="D170" s="1">
        <v>45342</v>
      </c>
      <c r="E170" s="17">
        <v>0.25138888888888899</v>
      </c>
      <c r="F170" s="17">
        <v>0.25833333333333303</v>
      </c>
      <c r="H170" s="4" t="s">
        <v>168</v>
      </c>
      <c r="I170" s="5" t="s">
        <v>180</v>
      </c>
      <c r="J170" s="5" t="s">
        <v>181</v>
      </c>
      <c r="K170">
        <v>1</v>
      </c>
      <c r="L170">
        <v>1</v>
      </c>
      <c r="M170">
        <v>1</v>
      </c>
      <c r="N170">
        <v>4</v>
      </c>
      <c r="O170">
        <v>1</v>
      </c>
      <c r="P170">
        <v>1</v>
      </c>
    </row>
    <row r="171" spans="1:16" x14ac:dyDescent="0.3">
      <c r="A171" s="7" t="s">
        <v>281</v>
      </c>
      <c r="B171" t="s">
        <v>280</v>
      </c>
      <c r="C171" s="7" t="s">
        <v>274</v>
      </c>
      <c r="D171" s="1">
        <v>45342</v>
      </c>
      <c r="E171" s="17">
        <v>0.25138888888888899</v>
      </c>
      <c r="F171" s="17">
        <v>0.25833333333333303</v>
      </c>
      <c r="H171" s="4" t="s">
        <v>168</v>
      </c>
      <c r="I171" s="5" t="s">
        <v>180</v>
      </c>
      <c r="J171" s="5" t="s">
        <v>181</v>
      </c>
      <c r="K171">
        <v>1</v>
      </c>
      <c r="L171">
        <v>1</v>
      </c>
      <c r="M171">
        <v>1</v>
      </c>
      <c r="N171">
        <v>4</v>
      </c>
      <c r="O171">
        <v>1</v>
      </c>
      <c r="P171">
        <v>1</v>
      </c>
    </row>
    <row r="172" spans="1:16" x14ac:dyDescent="0.3">
      <c r="A172" s="7" t="s">
        <v>261</v>
      </c>
      <c r="B172" t="s">
        <v>265</v>
      </c>
      <c r="C172" s="7" t="s">
        <v>258</v>
      </c>
      <c r="D172" s="1">
        <v>45342</v>
      </c>
      <c r="E172" s="17">
        <v>0.25</v>
      </c>
      <c r="F172" s="17">
        <v>0.25694444444444442</v>
      </c>
      <c r="H172" t="s">
        <v>169</v>
      </c>
      <c r="I172" s="2" t="s">
        <v>183</v>
      </c>
      <c r="J172" s="2" t="s">
        <v>184</v>
      </c>
      <c r="K172">
        <v>1</v>
      </c>
      <c r="L172">
        <v>1</v>
      </c>
      <c r="M172">
        <v>1</v>
      </c>
      <c r="N172">
        <v>5</v>
      </c>
      <c r="O172">
        <v>1</v>
      </c>
      <c r="P172">
        <v>2</v>
      </c>
    </row>
    <row r="173" spans="1:16" x14ac:dyDescent="0.3">
      <c r="A173" s="7" t="s">
        <v>259</v>
      </c>
      <c r="B173" t="s">
        <v>266</v>
      </c>
      <c r="C173" s="7" t="s">
        <v>258</v>
      </c>
      <c r="D173" s="1">
        <v>45342</v>
      </c>
      <c r="E173" s="17">
        <v>0.25</v>
      </c>
      <c r="F173" s="17">
        <v>0.25694444444444442</v>
      </c>
      <c r="H173" t="s">
        <v>169</v>
      </c>
      <c r="I173" s="2" t="s">
        <v>183</v>
      </c>
      <c r="J173" s="2" t="s">
        <v>184</v>
      </c>
      <c r="K173">
        <v>1</v>
      </c>
      <c r="L173">
        <v>1</v>
      </c>
      <c r="M173">
        <v>1</v>
      </c>
      <c r="N173">
        <v>5</v>
      </c>
      <c r="O173">
        <v>1</v>
      </c>
      <c r="P173">
        <v>2</v>
      </c>
    </row>
    <row r="174" spans="1:16" x14ac:dyDescent="0.3">
      <c r="A174" s="7" t="s">
        <v>260</v>
      </c>
      <c r="B174" t="s">
        <v>257</v>
      </c>
      <c r="C174" s="7" t="s">
        <v>258</v>
      </c>
      <c r="D174" s="1">
        <v>45342</v>
      </c>
      <c r="E174" s="17">
        <v>0.25</v>
      </c>
      <c r="F174" s="17">
        <v>0.25694444444444398</v>
      </c>
      <c r="H174" t="s">
        <v>169</v>
      </c>
      <c r="I174" s="2" t="s">
        <v>183</v>
      </c>
      <c r="J174" s="2" t="s">
        <v>184</v>
      </c>
      <c r="K174">
        <v>1</v>
      </c>
      <c r="L174">
        <v>1</v>
      </c>
      <c r="M174">
        <v>1</v>
      </c>
      <c r="N174">
        <v>5</v>
      </c>
      <c r="O174">
        <v>1</v>
      </c>
      <c r="P174">
        <v>2</v>
      </c>
    </row>
    <row r="175" spans="1:16" x14ac:dyDescent="0.3">
      <c r="A175" s="7" t="s">
        <v>286</v>
      </c>
      <c r="B175" t="s">
        <v>285</v>
      </c>
      <c r="C175" s="7" t="s">
        <v>258</v>
      </c>
      <c r="D175" s="1">
        <v>45342</v>
      </c>
      <c r="E175" s="17">
        <v>0.25</v>
      </c>
      <c r="F175" s="17">
        <v>0.25694444444444398</v>
      </c>
      <c r="H175" t="s">
        <v>169</v>
      </c>
      <c r="I175" s="2" t="s">
        <v>183</v>
      </c>
      <c r="J175" s="2" t="s">
        <v>184</v>
      </c>
      <c r="K175">
        <v>1</v>
      </c>
      <c r="L175">
        <v>1</v>
      </c>
      <c r="M175">
        <v>1</v>
      </c>
      <c r="N175">
        <v>5</v>
      </c>
      <c r="O175">
        <v>1</v>
      </c>
      <c r="P175">
        <v>2</v>
      </c>
    </row>
    <row r="176" spans="1:16" x14ac:dyDescent="0.3">
      <c r="A176" s="7" t="s">
        <v>262</v>
      </c>
      <c r="B176" t="s">
        <v>264</v>
      </c>
      <c r="C176" s="7" t="s">
        <v>258</v>
      </c>
      <c r="D176" s="1">
        <v>45342</v>
      </c>
      <c r="E176" s="17">
        <v>0.25</v>
      </c>
      <c r="F176" s="17">
        <v>0.25694444444444398</v>
      </c>
      <c r="H176" t="s">
        <v>169</v>
      </c>
      <c r="I176" s="2" t="s">
        <v>183</v>
      </c>
      <c r="J176" s="2" t="s">
        <v>184</v>
      </c>
      <c r="K176">
        <v>1</v>
      </c>
      <c r="L176">
        <v>1</v>
      </c>
      <c r="M176">
        <v>1</v>
      </c>
      <c r="N176">
        <v>5</v>
      </c>
      <c r="O176">
        <v>1</v>
      </c>
      <c r="P176">
        <v>2</v>
      </c>
    </row>
    <row r="177" spans="1:16" x14ac:dyDescent="0.3">
      <c r="A177" s="7" t="s">
        <v>271</v>
      </c>
      <c r="B177" t="s">
        <v>272</v>
      </c>
      <c r="C177" s="7" t="s">
        <v>258</v>
      </c>
      <c r="D177" s="1">
        <v>45342</v>
      </c>
      <c r="E177" s="17">
        <v>0.25</v>
      </c>
      <c r="F177" s="17">
        <v>0.25694444444444398</v>
      </c>
      <c r="H177" t="s">
        <v>169</v>
      </c>
      <c r="I177" s="2" t="s">
        <v>183</v>
      </c>
      <c r="J177" s="2" t="s">
        <v>184</v>
      </c>
      <c r="K177">
        <v>1</v>
      </c>
      <c r="L177">
        <v>1</v>
      </c>
      <c r="M177">
        <v>1</v>
      </c>
      <c r="N177">
        <v>5</v>
      </c>
      <c r="O177">
        <v>1</v>
      </c>
      <c r="P177">
        <v>2</v>
      </c>
    </row>
    <row r="178" spans="1:16" x14ac:dyDescent="0.3">
      <c r="A178" s="7" t="s">
        <v>281</v>
      </c>
      <c r="B178" t="s">
        <v>280</v>
      </c>
      <c r="C178" t="s">
        <v>274</v>
      </c>
      <c r="D178" s="1">
        <v>45342</v>
      </c>
      <c r="E178" s="17">
        <v>0.25</v>
      </c>
      <c r="F178" s="17">
        <v>0.25694444444444398</v>
      </c>
      <c r="H178" t="s">
        <v>169</v>
      </c>
      <c r="I178" s="2" t="s">
        <v>183</v>
      </c>
      <c r="J178" s="2" t="s">
        <v>184</v>
      </c>
      <c r="K178">
        <v>1</v>
      </c>
      <c r="L178">
        <v>1</v>
      </c>
      <c r="M178">
        <v>1</v>
      </c>
      <c r="N178">
        <v>5</v>
      </c>
      <c r="O178">
        <v>1</v>
      </c>
      <c r="P178">
        <v>2</v>
      </c>
    </row>
    <row r="179" spans="1:16" x14ac:dyDescent="0.3">
      <c r="A179" s="7" t="s">
        <v>261</v>
      </c>
      <c r="B179" t="s">
        <v>265</v>
      </c>
      <c r="C179" s="7" t="s">
        <v>258</v>
      </c>
      <c r="D179" s="1">
        <v>45342</v>
      </c>
      <c r="E179" s="17">
        <v>0.25</v>
      </c>
      <c r="F179" s="17">
        <v>0.25694444444444398</v>
      </c>
      <c r="H179" s="4" t="s">
        <v>173</v>
      </c>
      <c r="I179" s="5" t="s">
        <v>186</v>
      </c>
      <c r="J179" s="5" t="s">
        <v>187</v>
      </c>
      <c r="K179">
        <v>1</v>
      </c>
      <c r="L179">
        <v>1</v>
      </c>
      <c r="M179">
        <v>1</v>
      </c>
      <c r="N179">
        <v>5</v>
      </c>
      <c r="O179">
        <v>1</v>
      </c>
      <c r="P179">
        <v>1</v>
      </c>
    </row>
    <row r="180" spans="1:16" x14ac:dyDescent="0.3">
      <c r="A180" s="7" t="s">
        <v>262</v>
      </c>
      <c r="B180" t="s">
        <v>264</v>
      </c>
      <c r="C180" s="7" t="s">
        <v>258</v>
      </c>
      <c r="D180" s="1">
        <v>45342</v>
      </c>
      <c r="E180" s="17">
        <v>0.25</v>
      </c>
      <c r="F180" s="17">
        <v>0.25694444444444398</v>
      </c>
      <c r="H180" s="4" t="s">
        <v>173</v>
      </c>
      <c r="I180" s="5" t="s">
        <v>186</v>
      </c>
      <c r="J180" s="5" t="s">
        <v>187</v>
      </c>
      <c r="K180">
        <v>1</v>
      </c>
      <c r="L180">
        <v>1</v>
      </c>
      <c r="M180">
        <v>1</v>
      </c>
      <c r="N180">
        <v>5</v>
      </c>
      <c r="O180">
        <v>1</v>
      </c>
      <c r="P180">
        <v>1</v>
      </c>
    </row>
    <row r="181" spans="1:16" x14ac:dyDescent="0.3">
      <c r="A181" s="7" t="s">
        <v>259</v>
      </c>
      <c r="B181" t="s">
        <v>266</v>
      </c>
      <c r="C181" s="7" t="s">
        <v>258</v>
      </c>
      <c r="D181" s="1">
        <v>45342</v>
      </c>
      <c r="E181" s="17">
        <v>0.25</v>
      </c>
      <c r="F181" s="17">
        <v>0.25694444444444398</v>
      </c>
      <c r="H181" s="4" t="s">
        <v>173</v>
      </c>
      <c r="I181" s="5" t="s">
        <v>186</v>
      </c>
      <c r="J181" s="5" t="s">
        <v>187</v>
      </c>
      <c r="K181">
        <v>1</v>
      </c>
      <c r="L181">
        <v>1</v>
      </c>
      <c r="M181">
        <v>1</v>
      </c>
      <c r="N181">
        <v>5</v>
      </c>
      <c r="O181">
        <v>1</v>
      </c>
      <c r="P181">
        <v>1</v>
      </c>
    </row>
    <row r="182" spans="1:16" x14ac:dyDescent="0.3">
      <c r="A182" s="7" t="s">
        <v>260</v>
      </c>
      <c r="B182" t="s">
        <v>257</v>
      </c>
      <c r="C182" s="7" t="s">
        <v>258</v>
      </c>
      <c r="D182" s="1">
        <v>45342</v>
      </c>
      <c r="E182" s="17">
        <v>0.25</v>
      </c>
      <c r="F182" s="17">
        <v>0.25694444444444398</v>
      </c>
      <c r="H182" s="4" t="s">
        <v>173</v>
      </c>
      <c r="I182" s="5" t="s">
        <v>186</v>
      </c>
      <c r="J182" s="5" t="s">
        <v>187</v>
      </c>
      <c r="K182">
        <v>1</v>
      </c>
      <c r="L182">
        <v>1</v>
      </c>
      <c r="M182">
        <v>1</v>
      </c>
      <c r="N182">
        <v>5</v>
      </c>
      <c r="O182">
        <v>1</v>
      </c>
      <c r="P182">
        <v>1</v>
      </c>
    </row>
    <row r="183" spans="1:16" x14ac:dyDescent="0.3">
      <c r="A183" s="7" t="s">
        <v>263</v>
      </c>
      <c r="B183" t="s">
        <v>268</v>
      </c>
      <c r="C183" s="7" t="s">
        <v>258</v>
      </c>
      <c r="D183" s="1">
        <v>45342</v>
      </c>
      <c r="E183" s="17">
        <v>0.25</v>
      </c>
      <c r="F183" s="17">
        <v>0.25694444444444398</v>
      </c>
      <c r="H183" s="4" t="s">
        <v>173</v>
      </c>
      <c r="I183" s="5" t="s">
        <v>186</v>
      </c>
      <c r="J183" s="5" t="s">
        <v>187</v>
      </c>
      <c r="K183">
        <v>1</v>
      </c>
      <c r="L183">
        <v>1</v>
      </c>
      <c r="M183">
        <v>1</v>
      </c>
      <c r="N183">
        <v>5</v>
      </c>
      <c r="O183">
        <v>1</v>
      </c>
      <c r="P183">
        <v>1</v>
      </c>
    </row>
    <row r="184" spans="1:16" x14ac:dyDescent="0.3">
      <c r="A184" s="7" t="s">
        <v>271</v>
      </c>
      <c r="B184" t="s">
        <v>272</v>
      </c>
      <c r="C184" s="7" t="s">
        <v>258</v>
      </c>
      <c r="D184" s="1">
        <v>45342</v>
      </c>
      <c r="E184" s="17">
        <v>0.25</v>
      </c>
      <c r="F184" s="17">
        <v>0.25694444444444398</v>
      </c>
      <c r="H184" s="4" t="s">
        <v>173</v>
      </c>
      <c r="I184" s="5" t="s">
        <v>186</v>
      </c>
      <c r="J184" s="5" t="s">
        <v>187</v>
      </c>
      <c r="K184">
        <v>1</v>
      </c>
      <c r="L184">
        <v>1</v>
      </c>
      <c r="M184">
        <v>1</v>
      </c>
      <c r="N184">
        <v>5</v>
      </c>
      <c r="O184">
        <v>1</v>
      </c>
      <c r="P184">
        <v>1</v>
      </c>
    </row>
    <row r="185" spans="1:16" x14ac:dyDescent="0.3">
      <c r="A185" s="7" t="s">
        <v>286</v>
      </c>
      <c r="B185" t="s">
        <v>285</v>
      </c>
      <c r="C185" s="7" t="s">
        <v>258</v>
      </c>
      <c r="D185" s="1">
        <v>45342</v>
      </c>
      <c r="E185" s="17">
        <v>0.25</v>
      </c>
      <c r="F185" s="17">
        <v>0.25694444444444398</v>
      </c>
      <c r="H185" s="4" t="s">
        <v>173</v>
      </c>
      <c r="I185" s="5" t="s">
        <v>186</v>
      </c>
      <c r="J185" s="5" t="s">
        <v>187</v>
      </c>
      <c r="K185">
        <v>1</v>
      </c>
      <c r="L185">
        <v>1</v>
      </c>
      <c r="M185">
        <v>1</v>
      </c>
      <c r="N185">
        <v>5</v>
      </c>
      <c r="O185">
        <v>1</v>
      </c>
      <c r="P185">
        <v>1</v>
      </c>
    </row>
    <row r="186" spans="1:16" x14ac:dyDescent="0.3">
      <c r="A186" s="7" t="s">
        <v>284</v>
      </c>
      <c r="B186" t="s">
        <v>283</v>
      </c>
      <c r="C186" s="7" t="s">
        <v>274</v>
      </c>
      <c r="D186" s="1">
        <v>45342</v>
      </c>
      <c r="E186" s="17">
        <v>0.25</v>
      </c>
      <c r="F186" s="17">
        <v>0.25694444444444398</v>
      </c>
      <c r="H186" s="4" t="s">
        <v>173</v>
      </c>
      <c r="I186" s="5" t="s">
        <v>186</v>
      </c>
      <c r="J186" s="5" t="s">
        <v>187</v>
      </c>
      <c r="K186">
        <v>1</v>
      </c>
      <c r="L186">
        <v>1</v>
      </c>
      <c r="M186">
        <v>1</v>
      </c>
      <c r="N186">
        <v>5</v>
      </c>
      <c r="O186">
        <v>1</v>
      </c>
      <c r="P186">
        <v>1</v>
      </c>
    </row>
    <row r="187" spans="1:16" x14ac:dyDescent="0.3">
      <c r="A187" s="7" t="s">
        <v>261</v>
      </c>
      <c r="B187" t="s">
        <v>265</v>
      </c>
      <c r="C187" s="7" t="s">
        <v>258</v>
      </c>
      <c r="D187" s="1">
        <v>45342</v>
      </c>
      <c r="E187" s="17">
        <v>0.25</v>
      </c>
      <c r="F187" s="17">
        <v>0.25694444444444398</v>
      </c>
      <c r="H187" t="s">
        <v>188</v>
      </c>
      <c r="I187" s="2" t="s">
        <v>190</v>
      </c>
      <c r="J187" s="2" t="s">
        <v>191</v>
      </c>
      <c r="K187">
        <v>1</v>
      </c>
      <c r="L187">
        <v>1</v>
      </c>
      <c r="M187">
        <v>1</v>
      </c>
      <c r="N187">
        <v>5</v>
      </c>
      <c r="O187">
        <v>1</v>
      </c>
      <c r="P187">
        <v>3</v>
      </c>
    </row>
    <row r="188" spans="1:16" x14ac:dyDescent="0.3">
      <c r="A188" s="7" t="s">
        <v>262</v>
      </c>
      <c r="B188" t="s">
        <v>264</v>
      </c>
      <c r="C188" s="7" t="s">
        <v>258</v>
      </c>
      <c r="D188" s="1">
        <v>45342</v>
      </c>
      <c r="E188" s="17">
        <v>0.25</v>
      </c>
      <c r="F188" s="17">
        <v>0.25694444444444398</v>
      </c>
      <c r="H188" t="s">
        <v>188</v>
      </c>
      <c r="I188" s="2" t="s">
        <v>190</v>
      </c>
      <c r="J188" s="2" t="s">
        <v>191</v>
      </c>
      <c r="K188">
        <v>1</v>
      </c>
      <c r="L188">
        <v>1</v>
      </c>
      <c r="M188">
        <v>1</v>
      </c>
      <c r="N188">
        <v>5</v>
      </c>
      <c r="O188">
        <v>1</v>
      </c>
      <c r="P188">
        <v>3</v>
      </c>
    </row>
    <row r="189" spans="1:16" x14ac:dyDescent="0.3">
      <c r="A189" s="7" t="s">
        <v>260</v>
      </c>
      <c r="B189" t="s">
        <v>257</v>
      </c>
      <c r="C189" s="7" t="s">
        <v>258</v>
      </c>
      <c r="D189" s="1">
        <v>45342</v>
      </c>
      <c r="E189" s="17">
        <v>0.25</v>
      </c>
      <c r="F189" s="17">
        <v>0.25694444444444398</v>
      </c>
      <c r="H189" t="s">
        <v>188</v>
      </c>
      <c r="I189" s="2" t="s">
        <v>190</v>
      </c>
      <c r="J189" s="2" t="s">
        <v>191</v>
      </c>
      <c r="K189">
        <v>1</v>
      </c>
      <c r="L189">
        <v>1</v>
      </c>
      <c r="M189">
        <v>1</v>
      </c>
      <c r="N189">
        <v>5</v>
      </c>
      <c r="O189">
        <v>1</v>
      </c>
      <c r="P189">
        <v>3</v>
      </c>
    </row>
    <row r="190" spans="1:16" x14ac:dyDescent="0.3">
      <c r="A190" s="7" t="s">
        <v>259</v>
      </c>
      <c r="B190" t="s">
        <v>266</v>
      </c>
      <c r="C190" s="7" t="s">
        <v>258</v>
      </c>
      <c r="D190" s="1">
        <v>45342</v>
      </c>
      <c r="E190" s="17">
        <v>0.25</v>
      </c>
      <c r="F190" s="17">
        <v>0.25694444444444398</v>
      </c>
      <c r="H190" t="s">
        <v>188</v>
      </c>
      <c r="I190" s="2" t="s">
        <v>190</v>
      </c>
      <c r="J190" s="2" t="s">
        <v>191</v>
      </c>
      <c r="K190">
        <v>1</v>
      </c>
      <c r="L190">
        <v>1</v>
      </c>
      <c r="M190">
        <v>1</v>
      </c>
      <c r="N190">
        <v>5</v>
      </c>
      <c r="O190">
        <v>1</v>
      </c>
      <c r="P190">
        <v>3</v>
      </c>
    </row>
    <row r="191" spans="1:16" x14ac:dyDescent="0.3">
      <c r="A191" s="7" t="s">
        <v>286</v>
      </c>
      <c r="B191" t="s">
        <v>285</v>
      </c>
      <c r="C191" s="7" t="s">
        <v>258</v>
      </c>
      <c r="D191" s="1">
        <v>45342</v>
      </c>
      <c r="E191" s="17">
        <v>0.25</v>
      </c>
      <c r="F191" s="17">
        <v>0.25694444444444398</v>
      </c>
      <c r="H191" t="s">
        <v>188</v>
      </c>
      <c r="I191" s="2" t="s">
        <v>190</v>
      </c>
      <c r="J191" s="2" t="s">
        <v>191</v>
      </c>
      <c r="K191">
        <v>1</v>
      </c>
      <c r="L191">
        <v>1</v>
      </c>
      <c r="M191">
        <v>1</v>
      </c>
      <c r="N191">
        <v>5</v>
      </c>
      <c r="O191">
        <v>1</v>
      </c>
      <c r="P191">
        <v>3</v>
      </c>
    </row>
    <row r="192" spans="1:16" x14ac:dyDescent="0.3">
      <c r="A192" s="7" t="s">
        <v>284</v>
      </c>
      <c r="B192" t="s">
        <v>283</v>
      </c>
      <c r="C192" s="7" t="s">
        <v>274</v>
      </c>
      <c r="D192" s="1">
        <v>45342</v>
      </c>
      <c r="E192" s="17">
        <v>0.25</v>
      </c>
      <c r="F192" s="17">
        <v>0.25694444444444398</v>
      </c>
      <c r="H192" t="s">
        <v>188</v>
      </c>
      <c r="I192" s="2" t="s">
        <v>190</v>
      </c>
      <c r="J192" s="2" t="s">
        <v>191</v>
      </c>
      <c r="K192">
        <v>1</v>
      </c>
      <c r="L192">
        <v>1</v>
      </c>
      <c r="M192">
        <v>1</v>
      </c>
      <c r="N192">
        <v>5</v>
      </c>
      <c r="O192">
        <v>1</v>
      </c>
      <c r="P192">
        <v>3</v>
      </c>
    </row>
    <row r="193" spans="1:16" x14ac:dyDescent="0.3">
      <c r="A193" s="7" t="s">
        <v>281</v>
      </c>
      <c r="B193" t="s">
        <v>280</v>
      </c>
      <c r="C193" s="7" t="s">
        <v>274</v>
      </c>
      <c r="D193" s="1">
        <v>45342</v>
      </c>
      <c r="E193" s="17">
        <v>0.25</v>
      </c>
      <c r="F193" s="17">
        <v>0.25694444444444398</v>
      </c>
      <c r="H193" t="s">
        <v>188</v>
      </c>
      <c r="I193" s="2" t="s">
        <v>190</v>
      </c>
      <c r="J193" s="2" t="s">
        <v>191</v>
      </c>
      <c r="K193">
        <v>1</v>
      </c>
      <c r="L193">
        <v>1</v>
      </c>
      <c r="M193">
        <v>1</v>
      </c>
      <c r="N193">
        <v>5</v>
      </c>
      <c r="O193">
        <v>1</v>
      </c>
      <c r="P193">
        <v>3</v>
      </c>
    </row>
    <row r="194" spans="1:16" x14ac:dyDescent="0.3">
      <c r="A194" s="7" t="s">
        <v>259</v>
      </c>
      <c r="B194" t="s">
        <v>266</v>
      </c>
      <c r="C194" s="7" t="s">
        <v>258</v>
      </c>
      <c r="D194" s="1">
        <v>45342</v>
      </c>
      <c r="E194" s="17">
        <v>0.25347222222222221</v>
      </c>
      <c r="F194" s="17">
        <v>0.26041666666666669</v>
      </c>
      <c r="H194" s="4" t="s">
        <v>189</v>
      </c>
      <c r="I194" s="5" t="s">
        <v>194</v>
      </c>
      <c r="J194" s="5" t="s">
        <v>195</v>
      </c>
      <c r="K194">
        <v>2</v>
      </c>
      <c r="L194">
        <v>1</v>
      </c>
      <c r="M194">
        <v>1</v>
      </c>
      <c r="N194">
        <v>5</v>
      </c>
      <c r="O194">
        <v>1</v>
      </c>
      <c r="P194">
        <v>2</v>
      </c>
    </row>
    <row r="195" spans="1:16" x14ac:dyDescent="0.3">
      <c r="A195" s="7" t="s">
        <v>262</v>
      </c>
      <c r="B195" t="s">
        <v>264</v>
      </c>
      <c r="C195" s="7" t="s">
        <v>258</v>
      </c>
      <c r="D195" s="1">
        <v>45342</v>
      </c>
      <c r="E195" s="17">
        <v>0.25347222222222221</v>
      </c>
      <c r="F195" s="17">
        <v>0.26041666666666669</v>
      </c>
      <c r="H195" s="4" t="s">
        <v>189</v>
      </c>
      <c r="I195" s="5" t="s">
        <v>194</v>
      </c>
      <c r="J195" s="5" t="s">
        <v>195</v>
      </c>
      <c r="K195">
        <v>2</v>
      </c>
      <c r="L195">
        <v>1</v>
      </c>
      <c r="M195">
        <v>1</v>
      </c>
      <c r="N195">
        <v>5</v>
      </c>
      <c r="O195">
        <v>1</v>
      </c>
      <c r="P195">
        <v>2</v>
      </c>
    </row>
    <row r="196" spans="1:16" x14ac:dyDescent="0.3">
      <c r="A196" s="7" t="s">
        <v>286</v>
      </c>
      <c r="B196" t="s">
        <v>285</v>
      </c>
      <c r="C196" s="7" t="s">
        <v>258</v>
      </c>
      <c r="D196" s="1">
        <v>45342</v>
      </c>
      <c r="E196" s="17">
        <v>0.25347222222222199</v>
      </c>
      <c r="F196" s="17">
        <v>0.26041666666666702</v>
      </c>
      <c r="H196" s="4" t="s">
        <v>189</v>
      </c>
      <c r="I196" s="5" t="s">
        <v>194</v>
      </c>
      <c r="J196" s="5" t="s">
        <v>195</v>
      </c>
      <c r="K196">
        <v>2</v>
      </c>
      <c r="L196">
        <v>1</v>
      </c>
      <c r="M196">
        <v>1</v>
      </c>
      <c r="N196">
        <v>5</v>
      </c>
      <c r="O196">
        <v>1</v>
      </c>
      <c r="P196">
        <v>2</v>
      </c>
    </row>
    <row r="197" spans="1:16" x14ac:dyDescent="0.3">
      <c r="A197" s="7" t="s">
        <v>261</v>
      </c>
      <c r="B197" t="s">
        <v>265</v>
      </c>
      <c r="C197" s="7" t="s">
        <v>258</v>
      </c>
      <c r="D197" s="1">
        <v>45342</v>
      </c>
      <c r="E197" s="17">
        <v>0.25347222222222199</v>
      </c>
      <c r="F197" s="17">
        <v>0.26041666666666702</v>
      </c>
      <c r="H197" s="4" t="s">
        <v>189</v>
      </c>
      <c r="I197" s="5" t="s">
        <v>194</v>
      </c>
      <c r="J197" s="5" t="s">
        <v>195</v>
      </c>
      <c r="K197">
        <v>2</v>
      </c>
      <c r="L197">
        <v>1</v>
      </c>
      <c r="M197">
        <v>1</v>
      </c>
      <c r="N197">
        <v>5</v>
      </c>
      <c r="O197">
        <v>1</v>
      </c>
      <c r="P197">
        <v>2</v>
      </c>
    </row>
    <row r="198" spans="1:16" x14ac:dyDescent="0.3">
      <c r="A198" s="7" t="s">
        <v>271</v>
      </c>
      <c r="B198" t="s">
        <v>272</v>
      </c>
      <c r="C198" s="7" t="s">
        <v>258</v>
      </c>
      <c r="D198" s="1">
        <v>45342</v>
      </c>
      <c r="E198" s="17">
        <v>0.25347222222222199</v>
      </c>
      <c r="F198" s="17">
        <v>0.26041666666666702</v>
      </c>
      <c r="H198" s="4" t="s">
        <v>189</v>
      </c>
      <c r="I198" s="5" t="s">
        <v>194</v>
      </c>
      <c r="J198" s="5" t="s">
        <v>195</v>
      </c>
      <c r="K198">
        <v>2</v>
      </c>
      <c r="L198">
        <v>1</v>
      </c>
      <c r="M198">
        <v>1</v>
      </c>
      <c r="N198">
        <v>5</v>
      </c>
      <c r="O198">
        <v>1</v>
      </c>
      <c r="P198">
        <v>2</v>
      </c>
    </row>
    <row r="199" spans="1:16" x14ac:dyDescent="0.3">
      <c r="A199" s="7" t="s">
        <v>260</v>
      </c>
      <c r="B199" t="s">
        <v>257</v>
      </c>
      <c r="C199" t="s">
        <v>258</v>
      </c>
      <c r="D199" s="1">
        <v>45342</v>
      </c>
      <c r="E199" s="17">
        <v>0.25347222222222199</v>
      </c>
      <c r="F199" s="17">
        <v>0.26041666666666702</v>
      </c>
      <c r="H199" s="4" t="s">
        <v>189</v>
      </c>
      <c r="I199" s="5" t="s">
        <v>194</v>
      </c>
      <c r="J199" s="5" t="s">
        <v>195</v>
      </c>
      <c r="K199">
        <v>2</v>
      </c>
      <c r="L199">
        <v>1</v>
      </c>
      <c r="M199">
        <v>1</v>
      </c>
      <c r="N199">
        <v>5</v>
      </c>
      <c r="O199">
        <v>1</v>
      </c>
      <c r="P199">
        <v>2</v>
      </c>
    </row>
    <row r="200" spans="1:16" x14ac:dyDescent="0.3">
      <c r="A200" s="7" t="s">
        <v>263</v>
      </c>
      <c r="B200" t="s">
        <v>268</v>
      </c>
      <c r="C200" s="7" t="s">
        <v>258</v>
      </c>
      <c r="D200" s="1">
        <v>45342</v>
      </c>
      <c r="E200" s="17">
        <v>0.25347222222222199</v>
      </c>
      <c r="F200" s="17">
        <v>0.26041666666666702</v>
      </c>
      <c r="H200" s="4" t="s">
        <v>189</v>
      </c>
      <c r="I200" s="5" t="s">
        <v>194</v>
      </c>
      <c r="J200" s="5" t="s">
        <v>195</v>
      </c>
      <c r="K200">
        <v>2</v>
      </c>
      <c r="L200">
        <v>1</v>
      </c>
      <c r="M200">
        <v>1</v>
      </c>
      <c r="N200">
        <v>5</v>
      </c>
      <c r="O200">
        <v>1</v>
      </c>
      <c r="P200">
        <v>2</v>
      </c>
    </row>
    <row r="201" spans="1:16" x14ac:dyDescent="0.3">
      <c r="A201" s="7" t="s">
        <v>259</v>
      </c>
      <c r="B201" t="s">
        <v>266</v>
      </c>
      <c r="C201" t="s">
        <v>258</v>
      </c>
      <c r="D201" s="1">
        <v>45338</v>
      </c>
      <c r="E201" s="17">
        <v>0.24930555555555556</v>
      </c>
      <c r="F201" s="17">
        <v>0.25624999999999998</v>
      </c>
      <c r="G201" t="s">
        <v>301</v>
      </c>
      <c r="H201" t="s">
        <v>197</v>
      </c>
      <c r="I201" s="2" t="s">
        <v>198</v>
      </c>
      <c r="J201" s="2" t="s">
        <v>199</v>
      </c>
      <c r="K201">
        <v>1</v>
      </c>
      <c r="L201">
        <v>1</v>
      </c>
      <c r="M201">
        <v>1</v>
      </c>
      <c r="N201">
        <v>3</v>
      </c>
      <c r="O201">
        <v>5</v>
      </c>
      <c r="P201">
        <v>1</v>
      </c>
    </row>
    <row r="202" spans="1:16" x14ac:dyDescent="0.3">
      <c r="A202" s="7" t="s">
        <v>261</v>
      </c>
      <c r="B202" t="s">
        <v>265</v>
      </c>
      <c r="C202" s="7" t="s">
        <v>258</v>
      </c>
      <c r="D202" s="1">
        <v>45338</v>
      </c>
      <c r="E202" s="17">
        <v>0.24930555555555556</v>
      </c>
      <c r="F202" s="17">
        <v>0.25624999999999998</v>
      </c>
      <c r="G202" t="s">
        <v>301</v>
      </c>
      <c r="H202" t="s">
        <v>197</v>
      </c>
      <c r="I202" s="2" t="s">
        <v>198</v>
      </c>
      <c r="J202" s="2" t="s">
        <v>199</v>
      </c>
      <c r="K202">
        <v>1</v>
      </c>
      <c r="L202">
        <v>1</v>
      </c>
      <c r="M202">
        <v>1</v>
      </c>
      <c r="N202">
        <v>3</v>
      </c>
      <c r="O202">
        <v>5</v>
      </c>
      <c r="P202">
        <v>1</v>
      </c>
    </row>
    <row r="203" spans="1:16" x14ac:dyDescent="0.3">
      <c r="A203" s="7" t="s">
        <v>262</v>
      </c>
      <c r="B203" t="s">
        <v>264</v>
      </c>
      <c r="C203" t="s">
        <v>258</v>
      </c>
      <c r="D203" s="1">
        <v>45338</v>
      </c>
      <c r="E203" s="17">
        <v>0.24930555555555556</v>
      </c>
      <c r="F203" s="17">
        <v>0.25624999999999998</v>
      </c>
      <c r="G203" t="s">
        <v>301</v>
      </c>
      <c r="H203" t="s">
        <v>197</v>
      </c>
      <c r="I203" s="2" t="s">
        <v>198</v>
      </c>
      <c r="J203" s="2" t="s">
        <v>199</v>
      </c>
      <c r="K203">
        <v>1</v>
      </c>
      <c r="L203">
        <v>1</v>
      </c>
      <c r="M203">
        <v>1</v>
      </c>
      <c r="N203">
        <v>3</v>
      </c>
      <c r="O203">
        <v>5</v>
      </c>
      <c r="P203">
        <v>1</v>
      </c>
    </row>
    <row r="204" spans="1:16" x14ac:dyDescent="0.3">
      <c r="A204" s="7" t="s">
        <v>271</v>
      </c>
      <c r="B204" t="s">
        <v>272</v>
      </c>
      <c r="C204" s="7" t="s">
        <v>258</v>
      </c>
      <c r="D204" s="1">
        <v>45338</v>
      </c>
      <c r="E204" s="17">
        <v>0.24930555555555556</v>
      </c>
      <c r="F204" s="17">
        <v>0.25624999999999998</v>
      </c>
      <c r="G204" t="s">
        <v>301</v>
      </c>
      <c r="H204" t="s">
        <v>197</v>
      </c>
      <c r="I204" s="2" t="s">
        <v>198</v>
      </c>
      <c r="J204" s="2" t="s">
        <v>199</v>
      </c>
      <c r="K204">
        <v>1</v>
      </c>
      <c r="L204">
        <v>1</v>
      </c>
      <c r="M204">
        <v>1</v>
      </c>
      <c r="N204">
        <v>3</v>
      </c>
      <c r="O204">
        <v>5</v>
      </c>
      <c r="P204">
        <v>1</v>
      </c>
    </row>
    <row r="205" spans="1:16" x14ac:dyDescent="0.3">
      <c r="A205" s="7" t="s">
        <v>273</v>
      </c>
      <c r="B205" t="s">
        <v>275</v>
      </c>
      <c r="C205" t="s">
        <v>274</v>
      </c>
      <c r="D205" s="1">
        <v>45338</v>
      </c>
      <c r="E205" s="17">
        <v>0.24930555555555556</v>
      </c>
      <c r="F205" s="17">
        <v>0.25624999999999998</v>
      </c>
      <c r="G205" t="s">
        <v>301</v>
      </c>
      <c r="H205" t="s">
        <v>197</v>
      </c>
      <c r="I205" s="2" t="s">
        <v>198</v>
      </c>
      <c r="J205" s="2" t="s">
        <v>199</v>
      </c>
      <c r="K205">
        <v>1</v>
      </c>
      <c r="L205">
        <v>1</v>
      </c>
      <c r="M205">
        <v>1</v>
      </c>
      <c r="N205">
        <v>3</v>
      </c>
      <c r="O205">
        <v>5</v>
      </c>
      <c r="P205">
        <v>1</v>
      </c>
    </row>
    <row r="206" spans="1:16" x14ac:dyDescent="0.3">
      <c r="A206" s="7" t="s">
        <v>259</v>
      </c>
      <c r="B206" t="s">
        <v>266</v>
      </c>
      <c r="C206" s="7" t="s">
        <v>258</v>
      </c>
      <c r="D206" s="1">
        <v>45338</v>
      </c>
      <c r="E206" s="17">
        <v>0.25</v>
      </c>
      <c r="F206" s="17">
        <v>0.25694444444444442</v>
      </c>
      <c r="H206" s="4" t="s">
        <v>201</v>
      </c>
      <c r="I206" s="5" t="s">
        <v>202</v>
      </c>
      <c r="J206" s="5" t="s">
        <v>203</v>
      </c>
      <c r="K206">
        <v>1</v>
      </c>
      <c r="L206">
        <v>1</v>
      </c>
      <c r="M206">
        <v>1</v>
      </c>
      <c r="N206">
        <v>3</v>
      </c>
      <c r="O206">
        <v>4</v>
      </c>
      <c r="P206">
        <v>1</v>
      </c>
    </row>
    <row r="207" spans="1:16" x14ac:dyDescent="0.3">
      <c r="A207" s="7" t="s">
        <v>286</v>
      </c>
      <c r="B207" t="s">
        <v>285</v>
      </c>
      <c r="C207" t="s">
        <v>258</v>
      </c>
      <c r="D207" s="1">
        <v>45338</v>
      </c>
      <c r="E207" s="17">
        <v>0.25</v>
      </c>
      <c r="F207" s="17">
        <v>0.25694444444444442</v>
      </c>
      <c r="H207" s="4" t="s">
        <v>201</v>
      </c>
      <c r="I207" s="5" t="s">
        <v>202</v>
      </c>
      <c r="J207" s="5" t="s">
        <v>203</v>
      </c>
      <c r="K207">
        <v>1</v>
      </c>
      <c r="L207">
        <v>1</v>
      </c>
      <c r="M207">
        <v>1</v>
      </c>
      <c r="N207">
        <v>3</v>
      </c>
      <c r="O207">
        <v>4</v>
      </c>
      <c r="P207">
        <v>1</v>
      </c>
    </row>
    <row r="208" spans="1:16" x14ac:dyDescent="0.3">
      <c r="A208" s="7" t="s">
        <v>261</v>
      </c>
      <c r="B208" t="s">
        <v>265</v>
      </c>
      <c r="C208" s="7" t="s">
        <v>258</v>
      </c>
      <c r="D208" s="1">
        <v>45338</v>
      </c>
      <c r="E208" s="17">
        <v>0.25</v>
      </c>
      <c r="F208" s="17">
        <v>0.25694444444444442</v>
      </c>
      <c r="H208" s="4" t="s">
        <v>201</v>
      </c>
      <c r="I208" s="5" t="s">
        <v>202</v>
      </c>
      <c r="J208" s="5" t="s">
        <v>203</v>
      </c>
      <c r="K208">
        <v>1</v>
      </c>
      <c r="L208">
        <v>1</v>
      </c>
      <c r="M208">
        <v>1</v>
      </c>
      <c r="N208">
        <v>3</v>
      </c>
      <c r="O208">
        <v>4</v>
      </c>
      <c r="P208">
        <v>1</v>
      </c>
    </row>
    <row r="209" spans="1:16" x14ac:dyDescent="0.3">
      <c r="A209" s="7" t="s">
        <v>262</v>
      </c>
      <c r="B209" t="s">
        <v>264</v>
      </c>
      <c r="C209" t="s">
        <v>258</v>
      </c>
      <c r="D209" s="1">
        <v>45338</v>
      </c>
      <c r="E209" s="17">
        <v>0.25</v>
      </c>
      <c r="F209" s="17">
        <v>0.25694444444444442</v>
      </c>
      <c r="H209" s="4" t="s">
        <v>201</v>
      </c>
      <c r="I209" s="5" t="s">
        <v>202</v>
      </c>
      <c r="J209" s="5" t="s">
        <v>203</v>
      </c>
      <c r="K209">
        <v>1</v>
      </c>
      <c r="L209">
        <v>1</v>
      </c>
      <c r="M209">
        <v>1</v>
      </c>
      <c r="N209">
        <v>3</v>
      </c>
      <c r="O209">
        <v>4</v>
      </c>
      <c r="P209">
        <v>1</v>
      </c>
    </row>
    <row r="210" spans="1:16" x14ac:dyDescent="0.3">
      <c r="A210" s="7" t="s">
        <v>259</v>
      </c>
      <c r="B210" t="s">
        <v>266</v>
      </c>
      <c r="C210" s="7" t="s">
        <v>258</v>
      </c>
      <c r="D210" s="1">
        <v>45338</v>
      </c>
      <c r="E210" s="17">
        <v>0.25</v>
      </c>
      <c r="F210" s="17">
        <v>0.25694444444444398</v>
      </c>
      <c r="G210" t="s">
        <v>303</v>
      </c>
      <c r="H210" t="s">
        <v>32</v>
      </c>
      <c r="I210" s="2" t="s">
        <v>34</v>
      </c>
      <c r="J210" s="2" t="s">
        <v>35</v>
      </c>
      <c r="K210">
        <v>2</v>
      </c>
      <c r="L210" t="s">
        <v>302</v>
      </c>
      <c r="M210">
        <v>1</v>
      </c>
      <c r="N210">
        <v>1</v>
      </c>
      <c r="O210">
        <v>5</v>
      </c>
      <c r="P210">
        <v>2</v>
      </c>
    </row>
    <row r="211" spans="1:16" x14ac:dyDescent="0.3">
      <c r="A211" s="7" t="s">
        <v>286</v>
      </c>
      <c r="B211" t="s">
        <v>285</v>
      </c>
      <c r="C211" t="s">
        <v>258</v>
      </c>
      <c r="D211" s="1">
        <v>45338</v>
      </c>
      <c r="E211" s="17">
        <v>0.25</v>
      </c>
      <c r="F211" s="17">
        <v>0.25694444444444398</v>
      </c>
      <c r="G211" t="s">
        <v>303</v>
      </c>
      <c r="H211" t="s">
        <v>32</v>
      </c>
      <c r="I211" s="2" t="s">
        <v>34</v>
      </c>
      <c r="J211" s="2" t="s">
        <v>35</v>
      </c>
      <c r="K211">
        <v>2</v>
      </c>
      <c r="L211" t="s">
        <v>302</v>
      </c>
      <c r="M211">
        <v>1</v>
      </c>
      <c r="N211">
        <v>1</v>
      </c>
      <c r="O211">
        <v>5</v>
      </c>
      <c r="P211">
        <v>2</v>
      </c>
    </row>
    <row r="212" spans="1:16" x14ac:dyDescent="0.3">
      <c r="A212" s="7" t="s">
        <v>284</v>
      </c>
      <c r="B212" t="s">
        <v>283</v>
      </c>
      <c r="C212" s="7" t="s">
        <v>274</v>
      </c>
      <c r="D212" s="1">
        <v>45342</v>
      </c>
      <c r="E212" s="17">
        <v>0.25</v>
      </c>
      <c r="F212" s="17">
        <v>0.25694444444444442</v>
      </c>
      <c r="H212" s="4" t="s">
        <v>205</v>
      </c>
      <c r="I212" s="5" t="s">
        <v>207</v>
      </c>
      <c r="J212" s="5" t="s">
        <v>208</v>
      </c>
      <c r="K212">
        <v>2</v>
      </c>
      <c r="L212">
        <v>1</v>
      </c>
      <c r="M212">
        <v>1</v>
      </c>
      <c r="N212">
        <v>5</v>
      </c>
      <c r="O212">
        <v>2</v>
      </c>
      <c r="P212">
        <v>2</v>
      </c>
    </row>
    <row r="213" spans="1:16" x14ac:dyDescent="0.3">
      <c r="A213" s="7" t="s">
        <v>271</v>
      </c>
      <c r="B213" t="s">
        <v>272</v>
      </c>
      <c r="C213" t="s">
        <v>258</v>
      </c>
      <c r="D213" s="1">
        <v>45342</v>
      </c>
      <c r="E213" s="17">
        <v>0.25</v>
      </c>
      <c r="F213" s="17">
        <v>0.25694444444444442</v>
      </c>
      <c r="H213" s="4" t="s">
        <v>205</v>
      </c>
      <c r="I213" s="5" t="s">
        <v>207</v>
      </c>
      <c r="J213" s="5" t="s">
        <v>208</v>
      </c>
      <c r="K213">
        <v>2</v>
      </c>
      <c r="L213">
        <v>1</v>
      </c>
      <c r="M213">
        <v>1</v>
      </c>
      <c r="N213">
        <v>5</v>
      </c>
      <c r="O213">
        <v>2</v>
      </c>
      <c r="P213">
        <v>2</v>
      </c>
    </row>
    <row r="214" spans="1:16" x14ac:dyDescent="0.3">
      <c r="A214" s="7" t="s">
        <v>260</v>
      </c>
      <c r="B214" t="s">
        <v>257</v>
      </c>
      <c r="C214" s="7" t="s">
        <v>258</v>
      </c>
      <c r="D214" s="1">
        <v>45342</v>
      </c>
      <c r="E214" s="17">
        <v>0.25</v>
      </c>
      <c r="F214" s="17">
        <v>0.25694444444444398</v>
      </c>
      <c r="H214" s="4" t="s">
        <v>205</v>
      </c>
      <c r="I214" s="5" t="s">
        <v>207</v>
      </c>
      <c r="J214" s="5" t="s">
        <v>208</v>
      </c>
      <c r="K214">
        <v>2</v>
      </c>
      <c r="L214">
        <v>1</v>
      </c>
      <c r="M214">
        <v>1</v>
      </c>
      <c r="N214">
        <v>5</v>
      </c>
      <c r="O214">
        <v>2</v>
      </c>
      <c r="P214">
        <v>2</v>
      </c>
    </row>
    <row r="215" spans="1:16" x14ac:dyDescent="0.3">
      <c r="A215" s="7" t="s">
        <v>259</v>
      </c>
      <c r="B215" t="s">
        <v>266</v>
      </c>
      <c r="C215" t="s">
        <v>258</v>
      </c>
      <c r="D215" s="1">
        <v>45342</v>
      </c>
      <c r="E215" s="17">
        <v>0.25</v>
      </c>
      <c r="F215" s="17">
        <v>0.25694444444444398</v>
      </c>
      <c r="H215" s="4" t="s">
        <v>205</v>
      </c>
      <c r="I215" s="5" t="s">
        <v>207</v>
      </c>
      <c r="J215" s="5" t="s">
        <v>208</v>
      </c>
      <c r="K215">
        <v>2</v>
      </c>
      <c r="L215">
        <v>1</v>
      </c>
      <c r="M215">
        <v>1</v>
      </c>
      <c r="N215">
        <v>5</v>
      </c>
      <c r="O215">
        <v>2</v>
      </c>
      <c r="P215">
        <v>2</v>
      </c>
    </row>
    <row r="216" spans="1:16" x14ac:dyDescent="0.3">
      <c r="A216" s="7" t="s">
        <v>262</v>
      </c>
      <c r="B216" t="s">
        <v>264</v>
      </c>
      <c r="C216" s="7" t="s">
        <v>258</v>
      </c>
      <c r="D216" s="1">
        <v>45342</v>
      </c>
      <c r="E216" s="17">
        <v>0.25</v>
      </c>
      <c r="F216" s="17">
        <v>0.25694444444444398</v>
      </c>
      <c r="H216" s="4" t="s">
        <v>205</v>
      </c>
      <c r="I216" s="5" t="s">
        <v>207</v>
      </c>
      <c r="J216" s="5" t="s">
        <v>208</v>
      </c>
      <c r="K216">
        <v>2</v>
      </c>
      <c r="L216">
        <v>1</v>
      </c>
      <c r="M216">
        <v>1</v>
      </c>
      <c r="N216">
        <v>5</v>
      </c>
      <c r="O216">
        <v>2</v>
      </c>
      <c r="P216">
        <v>2</v>
      </c>
    </row>
    <row r="217" spans="1:16" x14ac:dyDescent="0.3">
      <c r="A217" s="7" t="s">
        <v>286</v>
      </c>
      <c r="B217" t="s">
        <v>285</v>
      </c>
      <c r="C217" t="s">
        <v>258</v>
      </c>
      <c r="D217" s="1">
        <v>45342</v>
      </c>
      <c r="E217" s="17">
        <v>0.25</v>
      </c>
      <c r="F217" s="17">
        <v>0.25694444444444398</v>
      </c>
      <c r="H217" s="4" t="s">
        <v>205</v>
      </c>
      <c r="I217" s="5" t="s">
        <v>207</v>
      </c>
      <c r="J217" s="5" t="s">
        <v>208</v>
      </c>
      <c r="K217">
        <v>2</v>
      </c>
      <c r="L217">
        <v>1</v>
      </c>
      <c r="M217">
        <v>1</v>
      </c>
      <c r="N217">
        <v>5</v>
      </c>
      <c r="O217">
        <v>2</v>
      </c>
      <c r="P217">
        <v>2</v>
      </c>
    </row>
    <row r="218" spans="1:16" x14ac:dyDescent="0.3">
      <c r="A218" s="7" t="s">
        <v>261</v>
      </c>
      <c r="B218" t="s">
        <v>265</v>
      </c>
      <c r="C218" s="7" t="s">
        <v>258</v>
      </c>
      <c r="D218" s="1">
        <v>45342</v>
      </c>
      <c r="E218" s="17">
        <v>0.25</v>
      </c>
      <c r="F218" s="17">
        <v>0.25694444444444398</v>
      </c>
      <c r="H218" s="4" t="s">
        <v>205</v>
      </c>
      <c r="I218" s="5" t="s">
        <v>207</v>
      </c>
      <c r="J218" s="5" t="s">
        <v>208</v>
      </c>
      <c r="K218">
        <v>2</v>
      </c>
      <c r="L218">
        <v>1</v>
      </c>
      <c r="M218">
        <v>1</v>
      </c>
      <c r="N218">
        <v>5</v>
      </c>
      <c r="O218">
        <v>2</v>
      </c>
      <c r="P218">
        <v>2</v>
      </c>
    </row>
    <row r="219" spans="1:16" x14ac:dyDescent="0.3">
      <c r="A219" s="7" t="s">
        <v>269</v>
      </c>
      <c r="B219" t="s">
        <v>267</v>
      </c>
      <c r="C219" t="s">
        <v>258</v>
      </c>
      <c r="D219" s="1">
        <v>45342</v>
      </c>
      <c r="E219" s="17">
        <v>0.25</v>
      </c>
      <c r="F219" s="17">
        <v>0.25694444444444398</v>
      </c>
      <c r="H219" s="4" t="s">
        <v>205</v>
      </c>
      <c r="I219" s="5" t="s">
        <v>207</v>
      </c>
      <c r="J219" s="5" t="s">
        <v>208</v>
      </c>
      <c r="K219">
        <v>2</v>
      </c>
      <c r="L219">
        <v>1</v>
      </c>
      <c r="M219">
        <v>1</v>
      </c>
      <c r="N219">
        <v>5</v>
      </c>
      <c r="O219">
        <v>2</v>
      </c>
      <c r="P219">
        <v>2</v>
      </c>
    </row>
    <row r="220" spans="1:16" x14ac:dyDescent="0.3">
      <c r="A220" s="7" t="s">
        <v>259</v>
      </c>
      <c r="B220" t="s">
        <v>266</v>
      </c>
      <c r="C220" s="7" t="s">
        <v>258</v>
      </c>
      <c r="D220" s="1">
        <v>45342</v>
      </c>
      <c r="E220" s="17">
        <v>0.25</v>
      </c>
      <c r="F220" s="17">
        <v>0.25694444444444398</v>
      </c>
      <c r="H220" t="s">
        <v>40</v>
      </c>
      <c r="I220" s="2" t="s">
        <v>41</v>
      </c>
      <c r="J220" s="2" t="s">
        <v>42</v>
      </c>
      <c r="K220">
        <v>2</v>
      </c>
      <c r="L220">
        <v>1</v>
      </c>
      <c r="M220">
        <v>1</v>
      </c>
      <c r="N220">
        <v>5</v>
      </c>
      <c r="O220">
        <v>1</v>
      </c>
      <c r="P220">
        <v>1</v>
      </c>
    </row>
    <row r="221" spans="1:16" x14ac:dyDescent="0.3">
      <c r="A221" s="7" t="s">
        <v>286</v>
      </c>
      <c r="B221" t="s">
        <v>285</v>
      </c>
      <c r="C221" t="s">
        <v>258</v>
      </c>
      <c r="D221" s="1">
        <v>45342</v>
      </c>
      <c r="E221" s="17">
        <v>0.25</v>
      </c>
      <c r="F221" s="17">
        <v>0.25694444444444398</v>
      </c>
      <c r="H221" t="s">
        <v>40</v>
      </c>
      <c r="I221" s="2" t="s">
        <v>41</v>
      </c>
      <c r="J221" s="2" t="s">
        <v>42</v>
      </c>
      <c r="K221">
        <v>2</v>
      </c>
      <c r="L221">
        <v>1</v>
      </c>
      <c r="M221">
        <v>1</v>
      </c>
      <c r="N221">
        <v>5</v>
      </c>
      <c r="O221">
        <v>1</v>
      </c>
      <c r="P221">
        <v>1</v>
      </c>
    </row>
    <row r="222" spans="1:16" x14ac:dyDescent="0.3">
      <c r="A222" s="7" t="s">
        <v>262</v>
      </c>
      <c r="B222" t="s">
        <v>264</v>
      </c>
      <c r="C222" s="7" t="s">
        <v>258</v>
      </c>
      <c r="D222" s="1">
        <v>45342</v>
      </c>
      <c r="E222" s="17">
        <v>0.25</v>
      </c>
      <c r="F222" s="17">
        <v>0.25694444444444398</v>
      </c>
      <c r="H222" t="s">
        <v>40</v>
      </c>
      <c r="I222" s="2" t="s">
        <v>41</v>
      </c>
      <c r="J222" s="2" t="s">
        <v>42</v>
      </c>
      <c r="K222">
        <v>2</v>
      </c>
      <c r="L222">
        <v>1</v>
      </c>
      <c r="M222">
        <v>1</v>
      </c>
      <c r="N222">
        <v>5</v>
      </c>
      <c r="O222">
        <v>1</v>
      </c>
      <c r="P222">
        <v>1</v>
      </c>
    </row>
    <row r="223" spans="1:16" x14ac:dyDescent="0.3">
      <c r="A223" s="7" t="s">
        <v>271</v>
      </c>
      <c r="B223" t="s">
        <v>272</v>
      </c>
      <c r="C223" t="s">
        <v>258</v>
      </c>
      <c r="D223" s="1">
        <v>45342</v>
      </c>
      <c r="E223" s="17">
        <v>0.25</v>
      </c>
      <c r="F223" s="17">
        <v>0.25694444444444398</v>
      </c>
      <c r="H223" t="s">
        <v>40</v>
      </c>
      <c r="I223" s="2" t="s">
        <v>41</v>
      </c>
      <c r="J223" s="2" t="s">
        <v>42</v>
      </c>
      <c r="K223">
        <v>2</v>
      </c>
      <c r="L223">
        <v>1</v>
      </c>
      <c r="M223">
        <v>1</v>
      </c>
      <c r="N223">
        <v>5</v>
      </c>
      <c r="O223">
        <v>1</v>
      </c>
      <c r="P223">
        <v>1</v>
      </c>
    </row>
    <row r="224" spans="1:16" x14ac:dyDescent="0.3">
      <c r="A224" s="7" t="s">
        <v>284</v>
      </c>
      <c r="B224" t="s">
        <v>283</v>
      </c>
      <c r="C224" t="s">
        <v>274</v>
      </c>
      <c r="D224" s="1">
        <v>45342</v>
      </c>
      <c r="E224" s="17">
        <v>0.25</v>
      </c>
      <c r="F224" s="17">
        <v>0.25694444444444398</v>
      </c>
      <c r="H224" t="s">
        <v>40</v>
      </c>
      <c r="I224" s="2" t="s">
        <v>41</v>
      </c>
      <c r="J224" s="2" t="s">
        <v>42</v>
      </c>
      <c r="K224">
        <v>2</v>
      </c>
      <c r="L224">
        <v>1</v>
      </c>
      <c r="M224">
        <v>1</v>
      </c>
      <c r="N224">
        <v>5</v>
      </c>
      <c r="O224">
        <v>1</v>
      </c>
      <c r="P224">
        <v>1</v>
      </c>
    </row>
    <row r="225" spans="1:16" x14ac:dyDescent="0.3">
      <c r="A225" s="7" t="s">
        <v>260</v>
      </c>
      <c r="B225" t="s">
        <v>257</v>
      </c>
      <c r="C225" t="s">
        <v>258</v>
      </c>
      <c r="D225" s="1">
        <v>45342</v>
      </c>
      <c r="E225" s="17">
        <v>0.25</v>
      </c>
      <c r="F225" s="17">
        <v>0.25694444444444398</v>
      </c>
      <c r="H225" t="s">
        <v>40</v>
      </c>
      <c r="I225" s="2" t="s">
        <v>41</v>
      </c>
      <c r="J225" s="2" t="s">
        <v>42</v>
      </c>
      <c r="K225">
        <v>2</v>
      </c>
      <c r="L225">
        <v>1</v>
      </c>
      <c r="M225">
        <v>1</v>
      </c>
      <c r="N225">
        <v>5</v>
      </c>
      <c r="O225">
        <v>1</v>
      </c>
      <c r="P225">
        <v>1</v>
      </c>
    </row>
    <row r="226" spans="1:16" x14ac:dyDescent="0.3">
      <c r="A226" s="7" t="s">
        <v>259</v>
      </c>
      <c r="B226" t="s">
        <v>266</v>
      </c>
      <c r="C226" t="s">
        <v>258</v>
      </c>
      <c r="D226" s="1">
        <v>45415</v>
      </c>
      <c r="E226" s="17">
        <v>0.24861111111111112</v>
      </c>
      <c r="F226" s="17">
        <v>0.25555555555555554</v>
      </c>
      <c r="H226" s="4" t="s">
        <v>47</v>
      </c>
      <c r="I226" s="5" t="s">
        <v>49</v>
      </c>
      <c r="J226" s="5" t="s">
        <v>46</v>
      </c>
      <c r="K226">
        <v>2</v>
      </c>
      <c r="L226">
        <v>1</v>
      </c>
      <c r="M226">
        <v>1</v>
      </c>
      <c r="N226">
        <v>5</v>
      </c>
      <c r="O226">
        <v>4</v>
      </c>
      <c r="P226">
        <v>1</v>
      </c>
    </row>
    <row r="227" spans="1:16" x14ac:dyDescent="0.3">
      <c r="A227" s="7" t="s">
        <v>262</v>
      </c>
      <c r="B227" t="s">
        <v>264</v>
      </c>
      <c r="C227" t="s">
        <v>258</v>
      </c>
      <c r="D227" s="1">
        <v>45415</v>
      </c>
      <c r="E227" s="17">
        <v>0.24861111111111112</v>
      </c>
      <c r="F227" s="17">
        <v>0.25555555555555554</v>
      </c>
      <c r="H227" s="4" t="s">
        <v>47</v>
      </c>
      <c r="I227" s="5" t="s">
        <v>49</v>
      </c>
      <c r="J227" s="5" t="s">
        <v>46</v>
      </c>
      <c r="K227">
        <v>2</v>
      </c>
      <c r="L227">
        <v>1</v>
      </c>
      <c r="M227">
        <v>1</v>
      </c>
      <c r="N227">
        <v>5</v>
      </c>
      <c r="O227">
        <v>4</v>
      </c>
      <c r="P227">
        <v>1</v>
      </c>
    </row>
    <row r="228" spans="1:16" x14ac:dyDescent="0.3">
      <c r="A228" s="7" t="s">
        <v>261</v>
      </c>
      <c r="B228" t="s">
        <v>265</v>
      </c>
      <c r="C228" t="s">
        <v>258</v>
      </c>
      <c r="D228" s="1">
        <v>45415</v>
      </c>
      <c r="E228" s="17">
        <v>0.24861111111111112</v>
      </c>
      <c r="F228" s="17">
        <v>0.25555555555555554</v>
      </c>
      <c r="H228" s="4" t="s">
        <v>47</v>
      </c>
      <c r="I228" s="5" t="s">
        <v>49</v>
      </c>
      <c r="J228" s="5" t="s">
        <v>46</v>
      </c>
      <c r="K228">
        <v>2</v>
      </c>
      <c r="L228">
        <v>1</v>
      </c>
      <c r="M228">
        <v>1</v>
      </c>
      <c r="N228">
        <v>5</v>
      </c>
      <c r="O228">
        <v>4</v>
      </c>
      <c r="P228">
        <v>1</v>
      </c>
    </row>
    <row r="229" spans="1:16" x14ac:dyDescent="0.3">
      <c r="A229" s="7" t="s">
        <v>286</v>
      </c>
      <c r="B229" t="s">
        <v>285</v>
      </c>
      <c r="C229" t="s">
        <v>258</v>
      </c>
      <c r="D229" s="1">
        <v>45415</v>
      </c>
      <c r="E229" s="17">
        <v>0.24861111111111112</v>
      </c>
      <c r="F229" s="17">
        <v>0.25555555555555554</v>
      </c>
      <c r="H229" s="4" t="s">
        <v>47</v>
      </c>
      <c r="I229" s="5" t="s">
        <v>49</v>
      </c>
      <c r="J229" s="5" t="s">
        <v>46</v>
      </c>
      <c r="K229">
        <v>2</v>
      </c>
      <c r="L229">
        <v>1</v>
      </c>
      <c r="M229">
        <v>1</v>
      </c>
      <c r="N229">
        <v>5</v>
      </c>
      <c r="O229">
        <v>4</v>
      </c>
      <c r="P229">
        <v>1</v>
      </c>
    </row>
    <row r="230" spans="1:16" x14ac:dyDescent="0.3">
      <c r="A230" s="7" t="s">
        <v>271</v>
      </c>
      <c r="B230" t="s">
        <v>272</v>
      </c>
      <c r="C230" t="s">
        <v>258</v>
      </c>
      <c r="D230" s="1">
        <v>45415</v>
      </c>
      <c r="E230" s="17">
        <v>0.24861111111111112</v>
      </c>
      <c r="F230" s="17">
        <v>0.25555555555555554</v>
      </c>
      <c r="H230" s="4" t="s">
        <v>47</v>
      </c>
      <c r="I230" s="5" t="s">
        <v>49</v>
      </c>
      <c r="J230" s="5" t="s">
        <v>46</v>
      </c>
      <c r="K230">
        <v>2</v>
      </c>
      <c r="L230">
        <v>1</v>
      </c>
      <c r="M230">
        <v>1</v>
      </c>
      <c r="N230">
        <v>5</v>
      </c>
      <c r="O230">
        <v>4</v>
      </c>
      <c r="P230">
        <v>1</v>
      </c>
    </row>
    <row r="231" spans="1:16" x14ac:dyDescent="0.3">
      <c r="A231" s="7" t="s">
        <v>259</v>
      </c>
      <c r="B231" t="s">
        <v>266</v>
      </c>
      <c r="C231" t="s">
        <v>258</v>
      </c>
      <c r="D231" s="1">
        <v>45393</v>
      </c>
      <c r="E231" s="17">
        <v>0.25</v>
      </c>
      <c r="F231" s="17">
        <v>0.25694444444444442</v>
      </c>
      <c r="G231" t="s">
        <v>304</v>
      </c>
      <c r="H231" t="s">
        <v>214</v>
      </c>
      <c r="I231" s="2" t="s">
        <v>219</v>
      </c>
      <c r="J231" s="2" t="s">
        <v>223</v>
      </c>
      <c r="K231">
        <v>4</v>
      </c>
      <c r="L231">
        <v>1</v>
      </c>
      <c r="M231">
        <v>1</v>
      </c>
      <c r="N231">
        <v>4</v>
      </c>
      <c r="O231">
        <v>1</v>
      </c>
      <c r="P231">
        <v>1</v>
      </c>
    </row>
    <row r="232" spans="1:16" x14ac:dyDescent="0.3">
      <c r="A232" s="7" t="s">
        <v>262</v>
      </c>
      <c r="B232" t="s">
        <v>264</v>
      </c>
      <c r="C232" t="s">
        <v>258</v>
      </c>
      <c r="D232" s="1">
        <v>45393</v>
      </c>
      <c r="E232" s="17">
        <v>0.25</v>
      </c>
      <c r="F232" s="17">
        <v>0.25694444444444442</v>
      </c>
      <c r="G232" t="s">
        <v>304</v>
      </c>
      <c r="H232" t="s">
        <v>214</v>
      </c>
      <c r="I232" s="2" t="s">
        <v>219</v>
      </c>
      <c r="J232" s="2" t="s">
        <v>223</v>
      </c>
      <c r="K232">
        <v>4</v>
      </c>
      <c r="L232">
        <v>1</v>
      </c>
      <c r="M232">
        <v>1</v>
      </c>
      <c r="N232">
        <v>4</v>
      </c>
      <c r="O232">
        <v>1</v>
      </c>
      <c r="P232">
        <v>1</v>
      </c>
    </row>
    <row r="233" spans="1:16" x14ac:dyDescent="0.3">
      <c r="A233" s="7" t="s">
        <v>261</v>
      </c>
      <c r="B233" t="s">
        <v>265</v>
      </c>
      <c r="C233" t="s">
        <v>258</v>
      </c>
      <c r="D233" s="1">
        <v>45393</v>
      </c>
      <c r="E233" s="17">
        <v>0.25</v>
      </c>
      <c r="F233" s="17">
        <v>0.25694444444444442</v>
      </c>
      <c r="G233" t="s">
        <v>304</v>
      </c>
      <c r="H233" t="s">
        <v>214</v>
      </c>
      <c r="I233" s="2" t="s">
        <v>219</v>
      </c>
      <c r="J233" s="2" t="s">
        <v>223</v>
      </c>
      <c r="K233">
        <v>4</v>
      </c>
      <c r="L233">
        <v>1</v>
      </c>
      <c r="M233">
        <v>1</v>
      </c>
      <c r="N233">
        <v>4</v>
      </c>
      <c r="O233">
        <v>1</v>
      </c>
      <c r="P233">
        <v>1</v>
      </c>
    </row>
    <row r="234" spans="1:16" x14ac:dyDescent="0.3">
      <c r="A234" s="7" t="s">
        <v>260</v>
      </c>
      <c r="B234" t="s">
        <v>257</v>
      </c>
      <c r="C234" t="s">
        <v>258</v>
      </c>
      <c r="D234" s="1">
        <v>45393</v>
      </c>
      <c r="E234" s="17">
        <v>0.25</v>
      </c>
      <c r="F234" s="17">
        <v>0.25694444444444442</v>
      </c>
      <c r="G234" t="s">
        <v>304</v>
      </c>
      <c r="H234" t="s">
        <v>214</v>
      </c>
      <c r="I234" s="2" t="s">
        <v>219</v>
      </c>
      <c r="J234" s="2" t="s">
        <v>223</v>
      </c>
      <c r="K234">
        <v>4</v>
      </c>
      <c r="L234">
        <v>1</v>
      </c>
      <c r="M234">
        <v>1</v>
      </c>
      <c r="N234">
        <v>4</v>
      </c>
      <c r="O234">
        <v>1</v>
      </c>
      <c r="P234">
        <v>1</v>
      </c>
    </row>
    <row r="235" spans="1:16" x14ac:dyDescent="0.3">
      <c r="A235" s="7" t="s">
        <v>271</v>
      </c>
      <c r="B235" t="s">
        <v>272</v>
      </c>
      <c r="C235" t="s">
        <v>258</v>
      </c>
      <c r="D235" s="1">
        <v>45393</v>
      </c>
      <c r="E235" s="17">
        <v>0.25</v>
      </c>
      <c r="F235" s="17">
        <v>0.25694444444444442</v>
      </c>
      <c r="G235" t="s">
        <v>304</v>
      </c>
      <c r="H235" t="s">
        <v>214</v>
      </c>
      <c r="I235" s="2" t="s">
        <v>219</v>
      </c>
      <c r="J235" s="2" t="s">
        <v>223</v>
      </c>
      <c r="K235">
        <v>4</v>
      </c>
      <c r="L235">
        <v>1</v>
      </c>
      <c r="M235">
        <v>1</v>
      </c>
      <c r="N235">
        <v>4</v>
      </c>
      <c r="O235">
        <v>1</v>
      </c>
      <c r="P235">
        <v>1</v>
      </c>
    </row>
    <row r="236" spans="1:16" x14ac:dyDescent="0.3">
      <c r="A236" s="7" t="s">
        <v>286</v>
      </c>
      <c r="B236" t="s">
        <v>285</v>
      </c>
      <c r="C236" t="s">
        <v>258</v>
      </c>
      <c r="D236" s="1">
        <v>45393</v>
      </c>
      <c r="E236" s="17">
        <v>0.25</v>
      </c>
      <c r="F236" s="17">
        <v>0.25694444444444442</v>
      </c>
      <c r="G236" t="s">
        <v>304</v>
      </c>
      <c r="H236" t="s">
        <v>214</v>
      </c>
      <c r="I236" s="2" t="s">
        <v>219</v>
      </c>
      <c r="J236" s="2" t="s">
        <v>223</v>
      </c>
      <c r="K236">
        <v>4</v>
      </c>
      <c r="L236">
        <v>1</v>
      </c>
      <c r="M236">
        <v>1</v>
      </c>
      <c r="N236">
        <v>4</v>
      </c>
      <c r="O236">
        <v>1</v>
      </c>
      <c r="P236">
        <v>1</v>
      </c>
    </row>
    <row r="237" spans="1:16" x14ac:dyDescent="0.3">
      <c r="A237" s="7" t="s">
        <v>259</v>
      </c>
      <c r="B237" t="s">
        <v>266</v>
      </c>
      <c r="C237" t="s">
        <v>258</v>
      </c>
      <c r="D237" s="1">
        <v>45393</v>
      </c>
      <c r="E237" s="17">
        <v>0.25</v>
      </c>
      <c r="F237" s="17">
        <v>0.25694444444444442</v>
      </c>
      <c r="H237" s="4" t="s">
        <v>215</v>
      </c>
      <c r="I237" s="5" t="s">
        <v>225</v>
      </c>
      <c r="J237" s="5" t="s">
        <v>226</v>
      </c>
      <c r="K237">
        <v>4</v>
      </c>
      <c r="L237">
        <v>1</v>
      </c>
      <c r="M237">
        <v>1</v>
      </c>
      <c r="N237">
        <v>4</v>
      </c>
      <c r="O237">
        <v>1</v>
      </c>
      <c r="P237">
        <v>1</v>
      </c>
    </row>
    <row r="238" spans="1:16" x14ac:dyDescent="0.3">
      <c r="A238" s="7" t="s">
        <v>261</v>
      </c>
      <c r="B238" t="s">
        <v>265</v>
      </c>
      <c r="C238" t="s">
        <v>258</v>
      </c>
      <c r="D238" s="1">
        <v>45393</v>
      </c>
      <c r="E238" s="17">
        <v>0.25</v>
      </c>
      <c r="F238" s="17">
        <v>0.25694444444444442</v>
      </c>
      <c r="H238" s="4" t="s">
        <v>215</v>
      </c>
      <c r="I238" s="5" t="s">
        <v>225</v>
      </c>
      <c r="J238" s="5" t="s">
        <v>226</v>
      </c>
      <c r="K238">
        <v>4</v>
      </c>
      <c r="L238">
        <v>1</v>
      </c>
      <c r="M238">
        <v>1</v>
      </c>
      <c r="N238">
        <v>4</v>
      </c>
      <c r="O238">
        <v>1</v>
      </c>
      <c r="P238">
        <v>1</v>
      </c>
    </row>
    <row r="239" spans="1:16" x14ac:dyDescent="0.3">
      <c r="A239" s="7" t="s">
        <v>262</v>
      </c>
      <c r="B239" t="s">
        <v>264</v>
      </c>
      <c r="C239" t="s">
        <v>258</v>
      </c>
      <c r="D239" s="1">
        <v>45393</v>
      </c>
      <c r="E239" s="17">
        <v>0.25</v>
      </c>
      <c r="F239" s="17">
        <v>0.25694444444444398</v>
      </c>
      <c r="H239" s="4" t="s">
        <v>215</v>
      </c>
      <c r="I239" s="5" t="s">
        <v>225</v>
      </c>
      <c r="J239" s="5" t="s">
        <v>226</v>
      </c>
      <c r="K239">
        <v>4</v>
      </c>
      <c r="L239">
        <v>1</v>
      </c>
      <c r="M239">
        <v>1</v>
      </c>
      <c r="N239">
        <v>4</v>
      </c>
      <c r="O239">
        <v>1</v>
      </c>
      <c r="P239">
        <v>1</v>
      </c>
    </row>
    <row r="240" spans="1:16" x14ac:dyDescent="0.3">
      <c r="A240" s="7" t="s">
        <v>260</v>
      </c>
      <c r="B240" t="s">
        <v>257</v>
      </c>
      <c r="C240" t="s">
        <v>258</v>
      </c>
      <c r="D240" s="1">
        <v>45393</v>
      </c>
      <c r="E240" s="17">
        <v>0.25</v>
      </c>
      <c r="F240" s="17">
        <v>0.25694444444444398</v>
      </c>
      <c r="H240" s="4" t="s">
        <v>215</v>
      </c>
      <c r="I240" s="5" t="s">
        <v>225</v>
      </c>
      <c r="J240" s="5" t="s">
        <v>226</v>
      </c>
      <c r="K240">
        <v>4</v>
      </c>
      <c r="L240">
        <v>1</v>
      </c>
      <c r="M240">
        <v>1</v>
      </c>
      <c r="N240">
        <v>4</v>
      </c>
      <c r="O240">
        <v>1</v>
      </c>
      <c r="P240">
        <v>1</v>
      </c>
    </row>
    <row r="241" spans="1:16" x14ac:dyDescent="0.3">
      <c r="A241" s="7" t="s">
        <v>286</v>
      </c>
      <c r="B241" t="s">
        <v>285</v>
      </c>
      <c r="C241" t="s">
        <v>258</v>
      </c>
      <c r="D241" s="1">
        <v>45393</v>
      </c>
      <c r="E241" s="17">
        <v>0.25</v>
      </c>
      <c r="F241" s="17">
        <v>0.25694444444444398</v>
      </c>
      <c r="H241" s="4" t="s">
        <v>215</v>
      </c>
      <c r="I241" s="5" t="s">
        <v>225</v>
      </c>
      <c r="J241" s="5" t="s">
        <v>226</v>
      </c>
      <c r="K241">
        <v>4</v>
      </c>
      <c r="L241">
        <v>1</v>
      </c>
      <c r="M241">
        <v>1</v>
      </c>
      <c r="N241">
        <v>4</v>
      </c>
      <c r="O241">
        <v>1</v>
      </c>
      <c r="P241">
        <v>1</v>
      </c>
    </row>
    <row r="242" spans="1:16" x14ac:dyDescent="0.3">
      <c r="A242" s="7" t="s">
        <v>271</v>
      </c>
      <c r="B242" t="s">
        <v>272</v>
      </c>
      <c r="C242" t="s">
        <v>258</v>
      </c>
      <c r="D242" s="1">
        <v>45393</v>
      </c>
      <c r="E242" s="17">
        <v>0.25</v>
      </c>
      <c r="F242" s="17">
        <v>0.25694444444444398</v>
      </c>
      <c r="H242" s="4" t="s">
        <v>215</v>
      </c>
      <c r="I242" s="5" t="s">
        <v>225</v>
      </c>
      <c r="J242" s="5" t="s">
        <v>226</v>
      </c>
      <c r="K242">
        <v>4</v>
      </c>
      <c r="L242">
        <v>1</v>
      </c>
      <c r="M242">
        <v>1</v>
      </c>
      <c r="N242">
        <v>4</v>
      </c>
      <c r="O242">
        <v>1</v>
      </c>
      <c r="P242">
        <v>1</v>
      </c>
    </row>
    <row r="243" spans="1:16" x14ac:dyDescent="0.3">
      <c r="A243" s="7" t="s">
        <v>261</v>
      </c>
      <c r="B243" t="s">
        <v>265</v>
      </c>
      <c r="C243" t="s">
        <v>258</v>
      </c>
      <c r="D243" s="1">
        <v>45393</v>
      </c>
      <c r="E243" s="17">
        <v>0.25</v>
      </c>
      <c r="F243" s="17">
        <v>0.25694444444444398</v>
      </c>
      <c r="H243" t="s">
        <v>216</v>
      </c>
      <c r="I243" s="2" t="s">
        <v>220</v>
      </c>
      <c r="J243" s="2" t="s">
        <v>227</v>
      </c>
      <c r="K243">
        <v>3</v>
      </c>
      <c r="L243">
        <v>1</v>
      </c>
      <c r="M243">
        <v>1</v>
      </c>
      <c r="N243">
        <v>5</v>
      </c>
      <c r="O243">
        <v>4</v>
      </c>
      <c r="P243">
        <v>1</v>
      </c>
    </row>
    <row r="244" spans="1:16" x14ac:dyDescent="0.3">
      <c r="A244" s="7" t="s">
        <v>286</v>
      </c>
      <c r="B244" t="s">
        <v>285</v>
      </c>
      <c r="C244" t="s">
        <v>258</v>
      </c>
      <c r="D244" s="1">
        <v>45393</v>
      </c>
      <c r="E244" s="17">
        <v>0.25</v>
      </c>
      <c r="F244" s="17">
        <v>0.25694444444444398</v>
      </c>
      <c r="H244" t="s">
        <v>216</v>
      </c>
      <c r="I244" s="2" t="s">
        <v>220</v>
      </c>
      <c r="J244" s="2" t="s">
        <v>227</v>
      </c>
      <c r="K244">
        <v>3</v>
      </c>
      <c r="L244">
        <v>1</v>
      </c>
      <c r="M244">
        <v>1</v>
      </c>
      <c r="N244">
        <v>5</v>
      </c>
      <c r="O244">
        <v>4</v>
      </c>
      <c r="P244">
        <v>1</v>
      </c>
    </row>
    <row r="245" spans="1:16" x14ac:dyDescent="0.3">
      <c r="A245" s="7" t="s">
        <v>259</v>
      </c>
      <c r="B245" t="s">
        <v>266</v>
      </c>
      <c r="C245" t="s">
        <v>258</v>
      </c>
      <c r="D245" s="1">
        <v>45393</v>
      </c>
      <c r="E245" s="17">
        <v>0.25</v>
      </c>
      <c r="F245" s="17">
        <v>0.25694444444444398</v>
      </c>
      <c r="H245" t="s">
        <v>216</v>
      </c>
      <c r="I245" s="2" t="s">
        <v>220</v>
      </c>
      <c r="J245" s="2" t="s">
        <v>227</v>
      </c>
      <c r="K245">
        <v>3</v>
      </c>
      <c r="L245">
        <v>1</v>
      </c>
      <c r="M245">
        <v>1</v>
      </c>
      <c r="N245">
        <v>5</v>
      </c>
      <c r="O245">
        <v>4</v>
      </c>
      <c r="P245">
        <v>1</v>
      </c>
    </row>
    <row r="246" spans="1:16" x14ac:dyDescent="0.3">
      <c r="A246" s="7" t="s">
        <v>262</v>
      </c>
      <c r="B246" t="s">
        <v>264</v>
      </c>
      <c r="C246" t="s">
        <v>258</v>
      </c>
      <c r="D246" s="1">
        <v>45393</v>
      </c>
      <c r="E246" s="17">
        <v>0.25</v>
      </c>
      <c r="F246" s="17">
        <v>0.25694444444444398</v>
      </c>
      <c r="H246" t="s">
        <v>216</v>
      </c>
      <c r="I246" s="2" t="s">
        <v>220</v>
      </c>
      <c r="J246" s="2" t="s">
        <v>227</v>
      </c>
      <c r="K246">
        <v>3</v>
      </c>
      <c r="L246">
        <v>1</v>
      </c>
      <c r="M246">
        <v>1</v>
      </c>
      <c r="N246">
        <v>5</v>
      </c>
      <c r="O246">
        <v>4</v>
      </c>
      <c r="P246">
        <v>1</v>
      </c>
    </row>
    <row r="247" spans="1:16" x14ac:dyDescent="0.3">
      <c r="A247" s="7" t="s">
        <v>260</v>
      </c>
      <c r="B247" t="s">
        <v>257</v>
      </c>
      <c r="C247" t="s">
        <v>258</v>
      </c>
      <c r="D247" s="1">
        <v>45393</v>
      </c>
      <c r="E247" s="17">
        <v>0.25</v>
      </c>
      <c r="F247" s="17">
        <v>0.25694444444444398</v>
      </c>
      <c r="H247" t="s">
        <v>216</v>
      </c>
      <c r="I247" s="2" t="s">
        <v>220</v>
      </c>
      <c r="J247" s="2" t="s">
        <v>227</v>
      </c>
      <c r="K247">
        <v>3</v>
      </c>
      <c r="L247">
        <v>1</v>
      </c>
      <c r="M247">
        <v>1</v>
      </c>
      <c r="N247">
        <v>5</v>
      </c>
      <c r="O247">
        <v>4</v>
      </c>
      <c r="P247">
        <v>1</v>
      </c>
    </row>
    <row r="248" spans="1:16" x14ac:dyDescent="0.3">
      <c r="A248" s="7" t="s">
        <v>271</v>
      </c>
      <c r="B248" t="s">
        <v>272</v>
      </c>
      <c r="C248" t="s">
        <v>258</v>
      </c>
      <c r="D248" s="1">
        <v>45393</v>
      </c>
      <c r="E248" s="17">
        <v>0.25</v>
      </c>
      <c r="F248" s="17">
        <v>0.25694444444444398</v>
      </c>
      <c r="H248" t="s">
        <v>216</v>
      </c>
      <c r="I248" s="2" t="s">
        <v>220</v>
      </c>
      <c r="J248" s="2" t="s">
        <v>227</v>
      </c>
      <c r="K248">
        <v>3</v>
      </c>
      <c r="L248">
        <v>1</v>
      </c>
      <c r="M248">
        <v>1</v>
      </c>
      <c r="N248">
        <v>5</v>
      </c>
      <c r="O248">
        <v>4</v>
      </c>
      <c r="P248">
        <v>1</v>
      </c>
    </row>
    <row r="249" spans="1:16" x14ac:dyDescent="0.3">
      <c r="A249" s="7" t="s">
        <v>259</v>
      </c>
      <c r="B249" t="s">
        <v>266</v>
      </c>
      <c r="C249" t="s">
        <v>258</v>
      </c>
      <c r="D249" s="1">
        <v>45393</v>
      </c>
      <c r="E249" s="17">
        <v>0.25</v>
      </c>
      <c r="F249" s="17">
        <v>0.25694444444444398</v>
      </c>
      <c r="H249" s="4" t="s">
        <v>43</v>
      </c>
      <c r="I249" s="5" t="s">
        <v>45</v>
      </c>
      <c r="J249" s="5" t="s">
        <v>46</v>
      </c>
      <c r="K249">
        <v>2</v>
      </c>
      <c r="L249">
        <v>1</v>
      </c>
      <c r="M249">
        <v>1</v>
      </c>
      <c r="N249">
        <v>5</v>
      </c>
      <c r="O249">
        <v>1</v>
      </c>
      <c r="P249">
        <v>1</v>
      </c>
    </row>
    <row r="250" spans="1:16" x14ac:dyDescent="0.3">
      <c r="A250" s="7" t="s">
        <v>261</v>
      </c>
      <c r="B250" t="s">
        <v>265</v>
      </c>
      <c r="C250" t="s">
        <v>258</v>
      </c>
      <c r="D250" s="1">
        <v>45393</v>
      </c>
      <c r="E250" s="17">
        <v>0.25</v>
      </c>
      <c r="F250" s="17">
        <v>0.25694444444444398</v>
      </c>
      <c r="H250" s="4" t="s">
        <v>43</v>
      </c>
      <c r="I250" s="5" t="s">
        <v>45</v>
      </c>
      <c r="J250" s="5" t="s">
        <v>46</v>
      </c>
      <c r="K250">
        <v>2</v>
      </c>
      <c r="L250">
        <v>1</v>
      </c>
      <c r="M250">
        <v>1</v>
      </c>
      <c r="N250">
        <v>5</v>
      </c>
      <c r="O250">
        <v>1</v>
      </c>
      <c r="P250">
        <v>1</v>
      </c>
    </row>
    <row r="251" spans="1:16" x14ac:dyDescent="0.3">
      <c r="A251" s="7" t="s">
        <v>286</v>
      </c>
      <c r="B251" t="s">
        <v>285</v>
      </c>
      <c r="C251" t="s">
        <v>258</v>
      </c>
      <c r="D251" s="1">
        <v>45393</v>
      </c>
      <c r="E251" s="17">
        <v>0.25</v>
      </c>
      <c r="F251" s="17">
        <v>0.25694444444444398</v>
      </c>
      <c r="H251" s="4" t="s">
        <v>43</v>
      </c>
      <c r="I251" s="5" t="s">
        <v>45</v>
      </c>
      <c r="J251" s="5" t="s">
        <v>46</v>
      </c>
      <c r="K251">
        <v>2</v>
      </c>
      <c r="L251">
        <v>1</v>
      </c>
      <c r="M251">
        <v>1</v>
      </c>
      <c r="N251">
        <v>5</v>
      </c>
      <c r="O251">
        <v>1</v>
      </c>
      <c r="P251">
        <v>1</v>
      </c>
    </row>
    <row r="252" spans="1:16" x14ac:dyDescent="0.3">
      <c r="A252" s="7" t="s">
        <v>262</v>
      </c>
      <c r="B252" t="s">
        <v>264</v>
      </c>
      <c r="C252" t="s">
        <v>258</v>
      </c>
      <c r="D252" s="1">
        <v>45393</v>
      </c>
      <c r="E252" s="17">
        <v>0.25</v>
      </c>
      <c r="F252" s="17">
        <v>0.25694444444444398</v>
      </c>
      <c r="H252" s="4" t="s">
        <v>43</v>
      </c>
      <c r="I252" s="5" t="s">
        <v>45</v>
      </c>
      <c r="J252" s="5" t="s">
        <v>46</v>
      </c>
      <c r="K252">
        <v>2</v>
      </c>
      <c r="L252">
        <v>1</v>
      </c>
      <c r="M252">
        <v>1</v>
      </c>
      <c r="N252">
        <v>5</v>
      </c>
      <c r="O252">
        <v>1</v>
      </c>
      <c r="P252">
        <v>1</v>
      </c>
    </row>
    <row r="253" spans="1:16" x14ac:dyDescent="0.3">
      <c r="A253" s="7" t="s">
        <v>271</v>
      </c>
      <c r="B253" t="s">
        <v>272</v>
      </c>
      <c r="C253" t="s">
        <v>258</v>
      </c>
      <c r="D253" s="1">
        <v>45393</v>
      </c>
      <c r="E253" s="17">
        <v>0.25</v>
      </c>
      <c r="F253" s="17">
        <v>0.25694444444444398</v>
      </c>
      <c r="H253" s="4" t="s">
        <v>43</v>
      </c>
      <c r="I253" s="5" t="s">
        <v>45</v>
      </c>
      <c r="J253" s="5" t="s">
        <v>46</v>
      </c>
      <c r="K253">
        <v>2</v>
      </c>
      <c r="L253">
        <v>1</v>
      </c>
      <c r="M253">
        <v>1</v>
      </c>
      <c r="N253">
        <v>5</v>
      </c>
      <c r="O253">
        <v>1</v>
      </c>
      <c r="P253">
        <v>1</v>
      </c>
    </row>
    <row r="254" spans="1:16" x14ac:dyDescent="0.3">
      <c r="A254" s="7" t="s">
        <v>259</v>
      </c>
      <c r="B254" t="s">
        <v>266</v>
      </c>
      <c r="C254" t="s">
        <v>258</v>
      </c>
      <c r="D254" s="1">
        <v>45393</v>
      </c>
      <c r="E254" s="17">
        <v>0.25</v>
      </c>
      <c r="F254" s="17">
        <v>0.25694444444444398</v>
      </c>
      <c r="H254" t="s">
        <v>217</v>
      </c>
      <c r="I254" s="2" t="s">
        <v>221</v>
      </c>
      <c r="J254" s="2" t="s">
        <v>228</v>
      </c>
      <c r="K254">
        <v>2</v>
      </c>
      <c r="L254">
        <v>1</v>
      </c>
      <c r="M254">
        <v>1</v>
      </c>
      <c r="N254">
        <v>4</v>
      </c>
      <c r="O254">
        <v>1</v>
      </c>
      <c r="P254">
        <v>1</v>
      </c>
    </row>
    <row r="255" spans="1:16" x14ac:dyDescent="0.3">
      <c r="A255" s="7" t="s">
        <v>286</v>
      </c>
      <c r="B255" t="s">
        <v>285</v>
      </c>
      <c r="C255" t="s">
        <v>258</v>
      </c>
      <c r="D255" s="1">
        <v>45393</v>
      </c>
      <c r="E255" s="17">
        <v>0.25</v>
      </c>
      <c r="F255" s="17">
        <v>0.25694444444444398</v>
      </c>
      <c r="H255" t="s">
        <v>217</v>
      </c>
      <c r="I255" s="2" t="s">
        <v>221</v>
      </c>
      <c r="J255" s="2" t="s">
        <v>228</v>
      </c>
      <c r="K255">
        <v>2</v>
      </c>
      <c r="L255">
        <v>1</v>
      </c>
      <c r="M255">
        <v>1</v>
      </c>
      <c r="N255">
        <v>4</v>
      </c>
      <c r="O255">
        <v>1</v>
      </c>
      <c r="P255">
        <v>1</v>
      </c>
    </row>
    <row r="256" spans="1:16" x14ac:dyDescent="0.3">
      <c r="A256" s="7" t="s">
        <v>261</v>
      </c>
      <c r="B256" t="s">
        <v>265</v>
      </c>
      <c r="C256" t="s">
        <v>258</v>
      </c>
      <c r="D256" s="1">
        <v>45393</v>
      </c>
      <c r="E256" s="17">
        <v>0.25</v>
      </c>
      <c r="F256" s="17">
        <v>0.25694444444444398</v>
      </c>
      <c r="H256" t="s">
        <v>217</v>
      </c>
      <c r="I256" s="2" t="s">
        <v>221</v>
      </c>
      <c r="J256" s="2" t="s">
        <v>228</v>
      </c>
      <c r="K256">
        <v>2</v>
      </c>
      <c r="L256">
        <v>1</v>
      </c>
      <c r="M256">
        <v>1</v>
      </c>
      <c r="N256">
        <v>4</v>
      </c>
      <c r="O256">
        <v>1</v>
      </c>
      <c r="P256">
        <v>1</v>
      </c>
    </row>
    <row r="257" spans="1:16" x14ac:dyDescent="0.3">
      <c r="A257" s="7" t="s">
        <v>262</v>
      </c>
      <c r="B257" t="s">
        <v>264</v>
      </c>
      <c r="C257" t="s">
        <v>258</v>
      </c>
      <c r="D257" s="1">
        <v>45393</v>
      </c>
      <c r="E257" s="17">
        <v>0.25</v>
      </c>
      <c r="F257" s="17">
        <v>0.25694444444444398</v>
      </c>
      <c r="H257" t="s">
        <v>217</v>
      </c>
      <c r="I257" s="2" t="s">
        <v>221</v>
      </c>
      <c r="J257" s="2" t="s">
        <v>228</v>
      </c>
      <c r="K257">
        <v>2</v>
      </c>
      <c r="L257">
        <v>1</v>
      </c>
      <c r="M257">
        <v>1</v>
      </c>
      <c r="N257">
        <v>4</v>
      </c>
      <c r="O257">
        <v>1</v>
      </c>
      <c r="P257">
        <v>1</v>
      </c>
    </row>
    <row r="258" spans="1:16" x14ac:dyDescent="0.3">
      <c r="A258" s="7" t="s">
        <v>271</v>
      </c>
      <c r="B258" t="s">
        <v>272</v>
      </c>
      <c r="C258" t="s">
        <v>258</v>
      </c>
      <c r="D258" s="1">
        <v>45393</v>
      </c>
      <c r="E258" s="17">
        <v>0.25</v>
      </c>
      <c r="F258" s="17">
        <v>0.25694444444444398</v>
      </c>
      <c r="H258" t="s">
        <v>217</v>
      </c>
      <c r="I258" s="2" t="s">
        <v>221</v>
      </c>
      <c r="J258" s="2" t="s">
        <v>228</v>
      </c>
      <c r="K258">
        <v>2</v>
      </c>
      <c r="L258">
        <v>1</v>
      </c>
      <c r="M258">
        <v>1</v>
      </c>
      <c r="N258">
        <v>4</v>
      </c>
      <c r="O258">
        <v>1</v>
      </c>
      <c r="P258">
        <v>1</v>
      </c>
    </row>
    <row r="259" spans="1:16" x14ac:dyDescent="0.3">
      <c r="A259" s="7" t="s">
        <v>269</v>
      </c>
      <c r="B259" t="s">
        <v>267</v>
      </c>
      <c r="C259" t="s">
        <v>258</v>
      </c>
      <c r="D259" s="1">
        <v>45393</v>
      </c>
      <c r="E259" s="17">
        <v>0.25</v>
      </c>
      <c r="F259" s="17">
        <v>0.25694444444444398</v>
      </c>
      <c r="H259" t="s">
        <v>217</v>
      </c>
      <c r="I259" s="2" t="s">
        <v>221</v>
      </c>
      <c r="J259" s="2" t="s">
        <v>228</v>
      </c>
      <c r="K259">
        <v>2</v>
      </c>
      <c r="L259">
        <v>1</v>
      </c>
      <c r="M259">
        <v>1</v>
      </c>
      <c r="N259">
        <v>4</v>
      </c>
      <c r="O259">
        <v>1</v>
      </c>
      <c r="P259">
        <v>1</v>
      </c>
    </row>
    <row r="260" spans="1:16" x14ac:dyDescent="0.3">
      <c r="A260" s="7" t="s">
        <v>260</v>
      </c>
      <c r="B260" t="s">
        <v>257</v>
      </c>
      <c r="C260" t="s">
        <v>258</v>
      </c>
      <c r="D260" s="1">
        <v>45393</v>
      </c>
      <c r="E260" s="17">
        <v>0.25</v>
      </c>
      <c r="F260" s="17">
        <v>0.25694444444444398</v>
      </c>
      <c r="H260" t="s">
        <v>217</v>
      </c>
      <c r="I260" s="2" t="s">
        <v>221</v>
      </c>
      <c r="J260" s="2" t="s">
        <v>228</v>
      </c>
      <c r="K260">
        <v>2</v>
      </c>
      <c r="L260">
        <v>1</v>
      </c>
      <c r="M260">
        <v>1</v>
      </c>
      <c r="N260">
        <v>4</v>
      </c>
      <c r="O260">
        <v>1</v>
      </c>
      <c r="P260">
        <v>1</v>
      </c>
    </row>
    <row r="261" spans="1:16" x14ac:dyDescent="0.3">
      <c r="A261" s="7" t="s">
        <v>271</v>
      </c>
      <c r="B261" t="s">
        <v>272</v>
      </c>
      <c r="D261" s="1">
        <v>45393</v>
      </c>
      <c r="E261" s="17">
        <v>0.25</v>
      </c>
      <c r="F261" s="17">
        <v>0.25694444444444398</v>
      </c>
      <c r="H261" s="4" t="s">
        <v>218</v>
      </c>
      <c r="I261" s="5" t="s">
        <v>222</v>
      </c>
      <c r="J261" s="5" t="s">
        <v>224</v>
      </c>
      <c r="K261">
        <v>2</v>
      </c>
      <c r="L261">
        <v>1</v>
      </c>
      <c r="M261">
        <v>1</v>
      </c>
      <c r="N261">
        <v>4</v>
      </c>
      <c r="O261">
        <v>3</v>
      </c>
      <c r="P261">
        <v>1</v>
      </c>
    </row>
    <row r="262" spans="1:16" ht="28.8" x14ac:dyDescent="0.3">
      <c r="A262" s="7" t="s">
        <v>305</v>
      </c>
      <c r="B262" s="20" t="s">
        <v>306</v>
      </c>
      <c r="C262" t="s">
        <v>258</v>
      </c>
      <c r="D262" s="1">
        <v>45393</v>
      </c>
      <c r="E262" s="17">
        <v>0.25</v>
      </c>
      <c r="F262" s="17">
        <v>0.25694444444444398</v>
      </c>
      <c r="H262" s="4" t="s">
        <v>218</v>
      </c>
      <c r="I262" s="5" t="s">
        <v>222</v>
      </c>
      <c r="J262" s="5" t="s">
        <v>224</v>
      </c>
      <c r="K262">
        <v>2</v>
      </c>
      <c r="L262">
        <v>1</v>
      </c>
      <c r="M262">
        <v>1</v>
      </c>
      <c r="N262">
        <v>4</v>
      </c>
      <c r="O262">
        <v>3</v>
      </c>
      <c r="P262">
        <v>1</v>
      </c>
    </row>
    <row r="263" spans="1:16" x14ac:dyDescent="0.3">
      <c r="A263" s="7" t="s">
        <v>286</v>
      </c>
      <c r="B263" t="s">
        <v>285</v>
      </c>
      <c r="C263" t="s">
        <v>258</v>
      </c>
      <c r="D263" s="1">
        <v>45393</v>
      </c>
      <c r="E263" s="17">
        <v>0.25</v>
      </c>
      <c r="F263" s="17">
        <v>0.25694444444444398</v>
      </c>
      <c r="H263" s="4" t="s">
        <v>218</v>
      </c>
      <c r="I263" s="5" t="s">
        <v>222</v>
      </c>
      <c r="J263" s="5" t="s">
        <v>224</v>
      </c>
      <c r="K263">
        <v>2</v>
      </c>
      <c r="L263">
        <v>1</v>
      </c>
      <c r="M263">
        <v>1</v>
      </c>
      <c r="N263">
        <v>4</v>
      </c>
      <c r="O263">
        <v>3</v>
      </c>
      <c r="P263">
        <v>1</v>
      </c>
    </row>
    <row r="264" spans="1:16" x14ac:dyDescent="0.3">
      <c r="A264" s="7" t="s">
        <v>269</v>
      </c>
      <c r="B264" t="s">
        <v>267</v>
      </c>
      <c r="C264" t="s">
        <v>258</v>
      </c>
      <c r="D264" s="1">
        <v>45393</v>
      </c>
      <c r="E264" s="17">
        <v>0.25</v>
      </c>
      <c r="F264" s="17">
        <v>0.25694444444444398</v>
      </c>
      <c r="H264" s="4" t="s">
        <v>218</v>
      </c>
      <c r="I264" s="5" t="s">
        <v>222</v>
      </c>
      <c r="J264" s="5" t="s">
        <v>224</v>
      </c>
      <c r="K264">
        <v>2</v>
      </c>
      <c r="L264">
        <v>1</v>
      </c>
      <c r="M264">
        <v>1</v>
      </c>
      <c r="N264">
        <v>4</v>
      </c>
      <c r="O264">
        <v>3</v>
      </c>
      <c r="P264">
        <v>1</v>
      </c>
    </row>
    <row r="265" spans="1:16" x14ac:dyDescent="0.3">
      <c r="A265" s="7" t="s">
        <v>262</v>
      </c>
      <c r="B265" t="s">
        <v>264</v>
      </c>
      <c r="C265" t="s">
        <v>258</v>
      </c>
      <c r="D265" s="1">
        <v>45393</v>
      </c>
      <c r="E265" s="17">
        <v>0.25</v>
      </c>
      <c r="F265" s="17">
        <v>0.25694444444444398</v>
      </c>
      <c r="H265" s="4" t="s">
        <v>218</v>
      </c>
      <c r="I265" s="5" t="s">
        <v>222</v>
      </c>
      <c r="J265" s="5" t="s">
        <v>224</v>
      </c>
      <c r="K265">
        <v>2</v>
      </c>
      <c r="L265">
        <v>1</v>
      </c>
      <c r="M265">
        <v>1</v>
      </c>
      <c r="N265">
        <v>4</v>
      </c>
      <c r="O265">
        <v>3</v>
      </c>
      <c r="P265">
        <v>1</v>
      </c>
    </row>
    <row r="266" spans="1:16" x14ac:dyDescent="0.3">
      <c r="A266" s="7" t="s">
        <v>260</v>
      </c>
      <c r="B266" t="s">
        <v>257</v>
      </c>
      <c r="C266" t="s">
        <v>258</v>
      </c>
      <c r="D266" s="1">
        <v>45393</v>
      </c>
      <c r="E266" s="17">
        <v>0.25</v>
      </c>
      <c r="F266" s="17">
        <v>0.25694444444444398</v>
      </c>
      <c r="H266" s="4" t="s">
        <v>218</v>
      </c>
      <c r="I266" s="5" t="s">
        <v>222</v>
      </c>
      <c r="J266" s="5" t="s">
        <v>224</v>
      </c>
      <c r="K266">
        <v>2</v>
      </c>
      <c r="L266">
        <v>1</v>
      </c>
      <c r="M266">
        <v>1</v>
      </c>
      <c r="N266">
        <v>4</v>
      </c>
      <c r="O266">
        <v>3</v>
      </c>
      <c r="P266">
        <v>1</v>
      </c>
    </row>
    <row r="267" spans="1:16" x14ac:dyDescent="0.3">
      <c r="A267" s="7" t="s">
        <v>259</v>
      </c>
      <c r="B267" t="s">
        <v>266</v>
      </c>
      <c r="C267" t="s">
        <v>258</v>
      </c>
      <c r="D267" s="8">
        <v>45396</v>
      </c>
      <c r="E267" s="9">
        <v>0.25</v>
      </c>
      <c r="F267" s="9">
        <v>0.25694444444444442</v>
      </c>
      <c r="H267" s="10" t="s">
        <v>0</v>
      </c>
      <c r="I267" s="11" t="s">
        <v>1</v>
      </c>
      <c r="J267" s="11" t="s">
        <v>2</v>
      </c>
      <c r="K267">
        <v>2</v>
      </c>
      <c r="L267">
        <v>1</v>
      </c>
      <c r="M267">
        <v>1</v>
      </c>
      <c r="N267">
        <v>5</v>
      </c>
      <c r="O267">
        <v>1</v>
      </c>
      <c r="P267">
        <v>1</v>
      </c>
    </row>
    <row r="268" spans="1:16" x14ac:dyDescent="0.3">
      <c r="A268" s="7" t="s">
        <v>260</v>
      </c>
      <c r="B268" t="s">
        <v>257</v>
      </c>
      <c r="C268" t="s">
        <v>258</v>
      </c>
      <c r="D268" s="8">
        <v>45396</v>
      </c>
      <c r="E268" s="9">
        <v>0.25</v>
      </c>
      <c r="F268" s="9">
        <v>0.25694444444444442</v>
      </c>
      <c r="H268" s="10" t="s">
        <v>0</v>
      </c>
      <c r="I268" s="11" t="s">
        <v>1</v>
      </c>
      <c r="J268" s="11" t="s">
        <v>2</v>
      </c>
      <c r="K268">
        <v>2</v>
      </c>
      <c r="L268">
        <v>1</v>
      </c>
      <c r="M268">
        <v>1</v>
      </c>
      <c r="N268">
        <v>5</v>
      </c>
      <c r="O268">
        <v>1</v>
      </c>
      <c r="P268">
        <v>1</v>
      </c>
    </row>
    <row r="269" spans="1:16" x14ac:dyDescent="0.3">
      <c r="A269" s="7" t="s">
        <v>261</v>
      </c>
      <c r="B269" t="s">
        <v>265</v>
      </c>
      <c r="C269" t="s">
        <v>258</v>
      </c>
      <c r="D269" s="8">
        <v>45396</v>
      </c>
      <c r="E269" s="9">
        <v>0.25</v>
      </c>
      <c r="F269" s="9">
        <v>0.25694444444444398</v>
      </c>
      <c r="H269" s="10" t="s">
        <v>0</v>
      </c>
      <c r="I269" s="11" t="s">
        <v>1</v>
      </c>
      <c r="J269" s="11" t="s">
        <v>2</v>
      </c>
      <c r="K269">
        <v>2</v>
      </c>
      <c r="L269">
        <v>1</v>
      </c>
      <c r="M269">
        <v>1</v>
      </c>
      <c r="N269">
        <v>5</v>
      </c>
      <c r="O269">
        <v>1</v>
      </c>
      <c r="P269">
        <v>1</v>
      </c>
    </row>
    <row r="270" spans="1:16" x14ac:dyDescent="0.3">
      <c r="A270" s="7" t="s">
        <v>262</v>
      </c>
      <c r="B270" t="s">
        <v>264</v>
      </c>
      <c r="C270" t="s">
        <v>258</v>
      </c>
      <c r="D270" s="8">
        <v>45396</v>
      </c>
      <c r="E270" s="9">
        <v>0.25</v>
      </c>
      <c r="F270" s="9">
        <v>0.25694444444444398</v>
      </c>
      <c r="H270" s="10" t="s">
        <v>0</v>
      </c>
      <c r="I270" s="11" t="s">
        <v>1</v>
      </c>
      <c r="J270" s="11" t="s">
        <v>2</v>
      </c>
      <c r="K270">
        <v>2</v>
      </c>
      <c r="L270">
        <v>1</v>
      </c>
      <c r="M270">
        <v>1</v>
      </c>
      <c r="N270">
        <v>5</v>
      </c>
      <c r="O270">
        <v>1</v>
      </c>
      <c r="P270">
        <v>1</v>
      </c>
    </row>
    <row r="271" spans="1:16" x14ac:dyDescent="0.3">
      <c r="A271" s="7" t="s">
        <v>305</v>
      </c>
      <c r="B271" t="s">
        <v>306</v>
      </c>
      <c r="C271" t="s">
        <v>258</v>
      </c>
      <c r="D271" s="8">
        <v>45396</v>
      </c>
      <c r="E271" s="9">
        <v>0.25</v>
      </c>
      <c r="F271" s="9">
        <v>0.25694444444444398</v>
      </c>
      <c r="H271" s="10" t="s">
        <v>0</v>
      </c>
      <c r="I271" s="11" t="s">
        <v>1</v>
      </c>
      <c r="J271" s="11" t="s">
        <v>2</v>
      </c>
      <c r="K271">
        <v>2</v>
      </c>
      <c r="L271">
        <v>1</v>
      </c>
      <c r="M271">
        <v>1</v>
      </c>
      <c r="N271">
        <v>5</v>
      </c>
      <c r="O271">
        <v>1</v>
      </c>
      <c r="P271">
        <v>1</v>
      </c>
    </row>
    <row r="272" spans="1:16" x14ac:dyDescent="0.3">
      <c r="A272" s="7" t="s">
        <v>259</v>
      </c>
      <c r="B272" t="s">
        <v>266</v>
      </c>
      <c r="C272" t="s">
        <v>258</v>
      </c>
      <c r="D272" s="1">
        <v>45351</v>
      </c>
      <c r="E272" s="9">
        <v>0.25</v>
      </c>
      <c r="F272" s="9">
        <v>0.25694444444444398</v>
      </c>
      <c r="G272" t="s">
        <v>314</v>
      </c>
      <c r="H272" s="10" t="s">
        <v>53</v>
      </c>
      <c r="I272" s="11" t="s">
        <v>54</v>
      </c>
      <c r="J272" s="11" t="s">
        <v>55</v>
      </c>
      <c r="K272">
        <v>1</v>
      </c>
      <c r="L272">
        <v>1</v>
      </c>
      <c r="M272">
        <v>1</v>
      </c>
      <c r="N272">
        <v>4</v>
      </c>
      <c r="O272">
        <v>1</v>
      </c>
      <c r="P272">
        <v>2</v>
      </c>
    </row>
    <row r="273" spans="1:16" x14ac:dyDescent="0.3">
      <c r="A273" s="7" t="s">
        <v>260</v>
      </c>
      <c r="B273" t="s">
        <v>257</v>
      </c>
      <c r="C273" t="s">
        <v>258</v>
      </c>
      <c r="D273" s="1">
        <v>45351</v>
      </c>
      <c r="E273" s="9">
        <v>0.25</v>
      </c>
      <c r="F273" s="9">
        <v>0.25694444444444398</v>
      </c>
      <c r="G273" t="s">
        <v>314</v>
      </c>
      <c r="H273" s="10" t="s">
        <v>53</v>
      </c>
      <c r="I273" s="11" t="s">
        <v>54</v>
      </c>
      <c r="J273" s="11" t="s">
        <v>55</v>
      </c>
      <c r="K273">
        <v>1</v>
      </c>
      <c r="L273">
        <v>1</v>
      </c>
      <c r="M273">
        <v>1</v>
      </c>
      <c r="N273">
        <v>4</v>
      </c>
      <c r="O273">
        <v>1</v>
      </c>
      <c r="P273">
        <v>2</v>
      </c>
    </row>
    <row r="274" spans="1:16" x14ac:dyDescent="0.3">
      <c r="A274" s="7" t="s">
        <v>262</v>
      </c>
      <c r="B274" t="s">
        <v>264</v>
      </c>
      <c r="C274" t="s">
        <v>258</v>
      </c>
      <c r="D274" s="1">
        <v>45351</v>
      </c>
      <c r="E274" s="9">
        <v>0.25</v>
      </c>
      <c r="F274" s="9">
        <v>0.25694444444444398</v>
      </c>
      <c r="G274" t="s">
        <v>314</v>
      </c>
      <c r="H274" s="10" t="s">
        <v>53</v>
      </c>
      <c r="I274" s="11" t="s">
        <v>54</v>
      </c>
      <c r="J274" s="11" t="s">
        <v>55</v>
      </c>
      <c r="K274">
        <v>1</v>
      </c>
      <c r="L274">
        <v>1</v>
      </c>
      <c r="M274">
        <v>1</v>
      </c>
      <c r="N274">
        <v>4</v>
      </c>
      <c r="O274">
        <v>1</v>
      </c>
      <c r="P274">
        <v>2</v>
      </c>
    </row>
    <row r="275" spans="1:16" x14ac:dyDescent="0.3">
      <c r="A275" s="7" t="s">
        <v>261</v>
      </c>
      <c r="B275" t="s">
        <v>265</v>
      </c>
      <c r="C275" t="s">
        <v>258</v>
      </c>
      <c r="D275" s="1">
        <v>45351</v>
      </c>
      <c r="E275" s="9">
        <v>0.25</v>
      </c>
      <c r="F275" s="9">
        <v>0.25694444444444398</v>
      </c>
      <c r="G275" t="s">
        <v>314</v>
      </c>
      <c r="H275" s="10" t="s">
        <v>53</v>
      </c>
      <c r="I275" s="11" t="s">
        <v>54</v>
      </c>
      <c r="J275" s="11" t="s">
        <v>55</v>
      </c>
      <c r="K275">
        <v>1</v>
      </c>
      <c r="L275">
        <v>1</v>
      </c>
      <c r="M275">
        <v>1</v>
      </c>
      <c r="N275">
        <v>4</v>
      </c>
      <c r="O275">
        <v>1</v>
      </c>
      <c r="P275">
        <v>2</v>
      </c>
    </row>
    <row r="276" spans="1:16" x14ac:dyDescent="0.3">
      <c r="A276" s="7" t="s">
        <v>273</v>
      </c>
      <c r="B276" t="s">
        <v>275</v>
      </c>
      <c r="C276" t="s">
        <v>274</v>
      </c>
      <c r="D276" s="1">
        <v>45351</v>
      </c>
      <c r="E276" s="9">
        <v>0.25</v>
      </c>
      <c r="F276" s="9">
        <v>0.25694444444444398</v>
      </c>
      <c r="G276" t="s">
        <v>314</v>
      </c>
      <c r="H276" s="10" t="s">
        <v>53</v>
      </c>
      <c r="I276" s="11" t="s">
        <v>54</v>
      </c>
      <c r="J276" s="11" t="s">
        <v>55</v>
      </c>
      <c r="K276">
        <v>1</v>
      </c>
      <c r="L276">
        <v>1</v>
      </c>
      <c r="M276">
        <v>1</v>
      </c>
      <c r="N276">
        <v>4</v>
      </c>
      <c r="O276">
        <v>1</v>
      </c>
      <c r="P276">
        <v>2</v>
      </c>
    </row>
    <row r="277" spans="1:16" x14ac:dyDescent="0.3">
      <c r="A277" s="7" t="s">
        <v>271</v>
      </c>
      <c r="B277" t="s">
        <v>272</v>
      </c>
      <c r="C277" t="s">
        <v>258</v>
      </c>
      <c r="D277" s="1">
        <v>45351</v>
      </c>
      <c r="E277" s="9">
        <v>0.25</v>
      </c>
      <c r="F277" s="9">
        <v>0.25694444444444398</v>
      </c>
      <c r="G277" t="s">
        <v>314</v>
      </c>
      <c r="H277" s="10" t="s">
        <v>53</v>
      </c>
      <c r="I277" s="11" t="s">
        <v>54</v>
      </c>
      <c r="J277" s="11" t="s">
        <v>55</v>
      </c>
      <c r="K277">
        <v>1</v>
      </c>
      <c r="L277">
        <v>1</v>
      </c>
      <c r="M277">
        <v>1</v>
      </c>
      <c r="N277">
        <v>4</v>
      </c>
      <c r="O277">
        <v>1</v>
      </c>
      <c r="P277">
        <v>2</v>
      </c>
    </row>
    <row r="278" spans="1:16" x14ac:dyDescent="0.3">
      <c r="A278" s="7" t="s">
        <v>259</v>
      </c>
      <c r="B278" t="s">
        <v>266</v>
      </c>
      <c r="C278" t="s">
        <v>258</v>
      </c>
      <c r="D278" s="8">
        <v>45396</v>
      </c>
      <c r="E278" s="9">
        <v>0.25</v>
      </c>
      <c r="F278" s="9">
        <v>0.25694444444444398</v>
      </c>
      <c r="H278" s="14" t="s">
        <v>68</v>
      </c>
      <c r="I278" s="15" t="s">
        <v>69</v>
      </c>
      <c r="J278" s="15" t="s">
        <v>70</v>
      </c>
      <c r="K278">
        <v>5</v>
      </c>
      <c r="L278">
        <v>1</v>
      </c>
      <c r="M278">
        <v>1</v>
      </c>
      <c r="N278">
        <v>4</v>
      </c>
      <c r="O278">
        <v>2</v>
      </c>
      <c r="P278">
        <v>5</v>
      </c>
    </row>
    <row r="279" spans="1:16" x14ac:dyDescent="0.3">
      <c r="A279" s="7" t="s">
        <v>261</v>
      </c>
      <c r="B279" t="s">
        <v>265</v>
      </c>
      <c r="C279" t="s">
        <v>258</v>
      </c>
      <c r="D279" s="8">
        <v>45396</v>
      </c>
      <c r="E279" s="9">
        <v>0.25</v>
      </c>
      <c r="F279" s="9">
        <v>0.25694444444444398</v>
      </c>
      <c r="H279" s="14" t="s">
        <v>68</v>
      </c>
      <c r="I279" s="15" t="s">
        <v>69</v>
      </c>
      <c r="J279" s="15" t="s">
        <v>70</v>
      </c>
      <c r="K279">
        <v>5</v>
      </c>
      <c r="L279">
        <v>1</v>
      </c>
      <c r="M279">
        <v>1</v>
      </c>
      <c r="N279">
        <v>4</v>
      </c>
      <c r="O279">
        <v>2</v>
      </c>
      <c r="P279">
        <v>5</v>
      </c>
    </row>
    <row r="280" spans="1:16" x14ac:dyDescent="0.3">
      <c r="A280" s="7" t="s">
        <v>260</v>
      </c>
      <c r="B280" t="s">
        <v>257</v>
      </c>
      <c r="C280" t="s">
        <v>258</v>
      </c>
      <c r="D280" s="8">
        <v>45396</v>
      </c>
      <c r="E280" s="9">
        <v>0.25</v>
      </c>
      <c r="F280" s="9">
        <v>0.25694444444444398</v>
      </c>
      <c r="H280" s="14" t="s">
        <v>68</v>
      </c>
      <c r="I280" s="15" t="s">
        <v>69</v>
      </c>
      <c r="J280" s="15" t="s">
        <v>70</v>
      </c>
      <c r="K280">
        <v>5</v>
      </c>
      <c r="L280">
        <v>1</v>
      </c>
      <c r="M280">
        <v>1</v>
      </c>
      <c r="N280">
        <v>4</v>
      </c>
      <c r="O280">
        <v>2</v>
      </c>
      <c r="P280">
        <v>5</v>
      </c>
    </row>
    <row r="281" spans="1:16" x14ac:dyDescent="0.3">
      <c r="A281" s="7" t="s">
        <v>262</v>
      </c>
      <c r="B281" t="s">
        <v>264</v>
      </c>
      <c r="C281" t="s">
        <v>258</v>
      </c>
      <c r="D281" s="8">
        <v>45396</v>
      </c>
      <c r="E281" s="9">
        <v>0.25</v>
      </c>
      <c r="F281" s="9">
        <v>0.25694444444444398</v>
      </c>
      <c r="H281" s="14" t="s">
        <v>68</v>
      </c>
      <c r="I281" s="15" t="s">
        <v>69</v>
      </c>
      <c r="J281" s="15" t="s">
        <v>70</v>
      </c>
      <c r="K281">
        <v>5</v>
      </c>
      <c r="L281">
        <v>1</v>
      </c>
      <c r="M281">
        <v>1</v>
      </c>
      <c r="N281">
        <v>4</v>
      </c>
      <c r="O281">
        <v>2</v>
      </c>
      <c r="P281">
        <v>5</v>
      </c>
    </row>
    <row r="282" spans="1:16" x14ac:dyDescent="0.3">
      <c r="A282" s="7" t="s">
        <v>271</v>
      </c>
      <c r="B282" t="s">
        <v>272</v>
      </c>
      <c r="C282" t="s">
        <v>258</v>
      </c>
      <c r="D282" s="8">
        <v>45396</v>
      </c>
      <c r="E282" s="9">
        <v>0.25</v>
      </c>
      <c r="F282" s="9">
        <v>0.25694444444444398</v>
      </c>
      <c r="H282" s="14" t="s">
        <v>68</v>
      </c>
      <c r="I282" s="15" t="s">
        <v>69</v>
      </c>
      <c r="J282" s="15" t="s">
        <v>70</v>
      </c>
      <c r="K282">
        <v>5</v>
      </c>
      <c r="L282">
        <v>1</v>
      </c>
      <c r="M282">
        <v>1</v>
      </c>
      <c r="N282">
        <v>4</v>
      </c>
      <c r="O282">
        <v>2</v>
      </c>
      <c r="P282">
        <v>5</v>
      </c>
    </row>
    <row r="283" spans="1:16" x14ac:dyDescent="0.3">
      <c r="A283" s="7" t="s">
        <v>286</v>
      </c>
      <c r="B283" t="s">
        <v>285</v>
      </c>
      <c r="C283" t="s">
        <v>258</v>
      </c>
      <c r="D283" s="8">
        <v>45396</v>
      </c>
      <c r="E283" s="9">
        <v>0.25</v>
      </c>
      <c r="F283" s="9">
        <v>0.25694444444444398</v>
      </c>
      <c r="H283" s="14" t="s">
        <v>68</v>
      </c>
      <c r="I283" s="15" t="s">
        <v>69</v>
      </c>
      <c r="J283" s="15" t="s">
        <v>70</v>
      </c>
      <c r="K283">
        <v>5</v>
      </c>
      <c r="L283">
        <v>1</v>
      </c>
      <c r="M283">
        <v>1</v>
      </c>
      <c r="N283">
        <v>4</v>
      </c>
      <c r="O283">
        <v>2</v>
      </c>
      <c r="P283">
        <v>5</v>
      </c>
    </row>
    <row r="284" spans="1:16" x14ac:dyDescent="0.3">
      <c r="A284" s="7" t="s">
        <v>262</v>
      </c>
      <c r="B284" t="s">
        <v>264</v>
      </c>
      <c r="C284" t="s">
        <v>258</v>
      </c>
      <c r="D284" s="8">
        <v>45396</v>
      </c>
      <c r="E284" s="9">
        <v>0.25</v>
      </c>
      <c r="F284" s="9">
        <v>0.25694444444444398</v>
      </c>
      <c r="H284" s="10" t="s">
        <v>72</v>
      </c>
      <c r="I284" s="11" t="s">
        <v>73</v>
      </c>
      <c r="J284" s="11" t="s">
        <v>74</v>
      </c>
      <c r="K284">
        <v>3</v>
      </c>
      <c r="L284">
        <v>1</v>
      </c>
      <c r="M284">
        <v>1</v>
      </c>
      <c r="N284">
        <v>5</v>
      </c>
      <c r="O284">
        <v>4</v>
      </c>
      <c r="P284">
        <v>1</v>
      </c>
    </row>
    <row r="285" spans="1:16" x14ac:dyDescent="0.3">
      <c r="A285" s="7" t="s">
        <v>261</v>
      </c>
      <c r="B285" t="s">
        <v>265</v>
      </c>
      <c r="C285" t="s">
        <v>258</v>
      </c>
      <c r="D285" s="8">
        <v>45396</v>
      </c>
      <c r="E285" s="9">
        <v>0.25</v>
      </c>
      <c r="F285" s="9">
        <v>0.25694444444444398</v>
      </c>
      <c r="H285" s="10" t="s">
        <v>72</v>
      </c>
      <c r="I285" s="11" t="s">
        <v>73</v>
      </c>
      <c r="J285" s="11" t="s">
        <v>74</v>
      </c>
      <c r="K285">
        <v>3</v>
      </c>
      <c r="L285">
        <v>1</v>
      </c>
      <c r="M285">
        <v>1</v>
      </c>
      <c r="N285">
        <v>5</v>
      </c>
      <c r="O285">
        <v>4</v>
      </c>
      <c r="P285">
        <v>1</v>
      </c>
    </row>
    <row r="286" spans="1:16" x14ac:dyDescent="0.3">
      <c r="A286" s="7" t="s">
        <v>271</v>
      </c>
      <c r="B286" t="s">
        <v>272</v>
      </c>
      <c r="C286" t="s">
        <v>258</v>
      </c>
      <c r="D286" s="8">
        <v>45396</v>
      </c>
      <c r="E286" s="9">
        <v>0.25</v>
      </c>
      <c r="F286" s="9">
        <v>0.25694444444444398</v>
      </c>
      <c r="H286" s="10" t="s">
        <v>72</v>
      </c>
      <c r="I286" s="11" t="s">
        <v>73</v>
      </c>
      <c r="J286" s="11" t="s">
        <v>74</v>
      </c>
      <c r="K286">
        <v>3</v>
      </c>
      <c r="L286">
        <v>1</v>
      </c>
      <c r="M286">
        <v>1</v>
      </c>
      <c r="N286">
        <v>5</v>
      </c>
      <c r="O286">
        <v>4</v>
      </c>
      <c r="P286">
        <v>1</v>
      </c>
    </row>
    <row r="287" spans="1:16" x14ac:dyDescent="0.3">
      <c r="A287" s="7" t="s">
        <v>259</v>
      </c>
      <c r="B287" t="s">
        <v>266</v>
      </c>
      <c r="C287" t="s">
        <v>258</v>
      </c>
      <c r="D287" s="8">
        <v>45396</v>
      </c>
      <c r="E287" s="9">
        <v>0.25</v>
      </c>
      <c r="F287" s="9">
        <v>0.25694444444444398</v>
      </c>
      <c r="H287" s="10" t="s">
        <v>72</v>
      </c>
      <c r="I287" s="11" t="s">
        <v>73</v>
      </c>
      <c r="J287" s="11" t="s">
        <v>74</v>
      </c>
      <c r="K287">
        <v>3</v>
      </c>
      <c r="L287">
        <v>1</v>
      </c>
      <c r="M287">
        <v>1</v>
      </c>
      <c r="N287">
        <v>5</v>
      </c>
      <c r="O287">
        <v>4</v>
      </c>
      <c r="P287">
        <v>1</v>
      </c>
    </row>
    <row r="288" spans="1:16" x14ac:dyDescent="0.3">
      <c r="A288" s="7" t="s">
        <v>260</v>
      </c>
      <c r="B288" t="s">
        <v>257</v>
      </c>
      <c r="C288" t="s">
        <v>258</v>
      </c>
      <c r="D288" s="8">
        <v>45396</v>
      </c>
      <c r="E288" s="9">
        <v>0.25</v>
      </c>
      <c r="F288" s="9">
        <v>0.25694444444444398</v>
      </c>
      <c r="H288" s="10" t="s">
        <v>72</v>
      </c>
      <c r="I288" s="11" t="s">
        <v>73</v>
      </c>
      <c r="J288" s="11" t="s">
        <v>74</v>
      </c>
      <c r="K288">
        <v>3</v>
      </c>
      <c r="L288">
        <v>1</v>
      </c>
      <c r="M288">
        <v>1</v>
      </c>
      <c r="N288">
        <v>5</v>
      </c>
      <c r="O288">
        <v>4</v>
      </c>
      <c r="P288">
        <v>1</v>
      </c>
    </row>
    <row r="289" spans="1:16" x14ac:dyDescent="0.3">
      <c r="A289" s="7" t="s">
        <v>286</v>
      </c>
      <c r="B289" t="s">
        <v>285</v>
      </c>
      <c r="C289" t="s">
        <v>258</v>
      </c>
      <c r="D289" s="8">
        <v>45396</v>
      </c>
      <c r="E289" s="9">
        <v>0.25</v>
      </c>
      <c r="F289" s="9">
        <v>0.25694444444444398</v>
      </c>
      <c r="H289" s="10" t="s">
        <v>72</v>
      </c>
      <c r="I289" s="11" t="s">
        <v>73</v>
      </c>
      <c r="J289" s="11" t="s">
        <v>74</v>
      </c>
      <c r="K289">
        <v>3</v>
      </c>
      <c r="L289">
        <v>1</v>
      </c>
      <c r="M289">
        <v>1</v>
      </c>
      <c r="N289">
        <v>5</v>
      </c>
      <c r="O289">
        <v>4</v>
      </c>
      <c r="P289">
        <v>1</v>
      </c>
    </row>
    <row r="290" spans="1:16" x14ac:dyDescent="0.3">
      <c r="A290" s="7" t="s">
        <v>259</v>
      </c>
      <c r="B290" t="s">
        <v>266</v>
      </c>
      <c r="C290" t="s">
        <v>258</v>
      </c>
      <c r="D290" s="1">
        <v>45381</v>
      </c>
      <c r="E290" s="9">
        <v>0.25</v>
      </c>
      <c r="F290" s="9">
        <v>0.25694444444444398</v>
      </c>
      <c r="H290" s="14" t="s">
        <v>16</v>
      </c>
      <c r="I290" s="15" t="s">
        <v>18</v>
      </c>
      <c r="J290" s="15" t="s">
        <v>19</v>
      </c>
      <c r="K290">
        <v>3</v>
      </c>
      <c r="L290">
        <v>1</v>
      </c>
      <c r="M290">
        <v>1</v>
      </c>
      <c r="N290">
        <v>3</v>
      </c>
      <c r="O290">
        <v>4</v>
      </c>
      <c r="P290">
        <v>1</v>
      </c>
    </row>
    <row r="291" spans="1:16" x14ac:dyDescent="0.3">
      <c r="A291" s="7" t="s">
        <v>260</v>
      </c>
      <c r="B291" t="s">
        <v>257</v>
      </c>
      <c r="C291" t="s">
        <v>258</v>
      </c>
      <c r="D291" s="1">
        <v>45381</v>
      </c>
      <c r="E291" s="9">
        <v>0.25</v>
      </c>
      <c r="F291" s="9">
        <v>0.25694444444444398</v>
      </c>
      <c r="H291" s="14" t="s">
        <v>16</v>
      </c>
      <c r="I291" s="15" t="s">
        <v>18</v>
      </c>
      <c r="J291" s="15" t="s">
        <v>19</v>
      </c>
      <c r="K291">
        <v>3</v>
      </c>
      <c r="L291">
        <v>1</v>
      </c>
      <c r="M291">
        <v>1</v>
      </c>
      <c r="N291">
        <v>3</v>
      </c>
      <c r="O291">
        <v>4</v>
      </c>
      <c r="P291">
        <v>1</v>
      </c>
    </row>
    <row r="292" spans="1:16" x14ac:dyDescent="0.3">
      <c r="A292" s="7" t="s">
        <v>261</v>
      </c>
      <c r="B292" t="s">
        <v>265</v>
      </c>
      <c r="C292" t="s">
        <v>258</v>
      </c>
      <c r="D292" s="1">
        <v>45381</v>
      </c>
      <c r="E292" s="9">
        <v>0.25</v>
      </c>
      <c r="F292" s="9">
        <v>0.25694444444444398</v>
      </c>
      <c r="H292" s="14" t="s">
        <v>16</v>
      </c>
      <c r="I292" s="15" t="s">
        <v>18</v>
      </c>
      <c r="J292" s="15" t="s">
        <v>19</v>
      </c>
      <c r="K292">
        <v>3</v>
      </c>
      <c r="L292">
        <v>1</v>
      </c>
      <c r="M292">
        <v>1</v>
      </c>
      <c r="N292">
        <v>3</v>
      </c>
      <c r="O292">
        <v>4</v>
      </c>
      <c r="P292">
        <v>1</v>
      </c>
    </row>
    <row r="293" spans="1:16" x14ac:dyDescent="0.3">
      <c r="A293" s="7" t="s">
        <v>262</v>
      </c>
      <c r="B293" t="s">
        <v>264</v>
      </c>
      <c r="C293" t="s">
        <v>258</v>
      </c>
      <c r="D293" s="1">
        <v>45381</v>
      </c>
      <c r="E293" s="9">
        <v>0.25</v>
      </c>
      <c r="F293" s="9">
        <v>0.25694444444444398</v>
      </c>
      <c r="H293" s="14" t="s">
        <v>16</v>
      </c>
      <c r="I293" s="15" t="s">
        <v>18</v>
      </c>
      <c r="J293" s="15" t="s">
        <v>19</v>
      </c>
      <c r="K293">
        <v>3</v>
      </c>
      <c r="L293">
        <v>1</v>
      </c>
      <c r="M293">
        <v>1</v>
      </c>
      <c r="N293">
        <v>3</v>
      </c>
      <c r="O293">
        <v>4</v>
      </c>
      <c r="P293">
        <v>1</v>
      </c>
    </row>
    <row r="294" spans="1:16" x14ac:dyDescent="0.3">
      <c r="A294" s="7" t="s">
        <v>281</v>
      </c>
      <c r="B294" t="s">
        <v>280</v>
      </c>
      <c r="C294" t="s">
        <v>274</v>
      </c>
      <c r="D294" s="1">
        <v>45381</v>
      </c>
      <c r="E294" s="9">
        <v>0.25</v>
      </c>
      <c r="F294" s="9">
        <v>0.25694444444444398</v>
      </c>
      <c r="H294" s="14" t="s">
        <v>16</v>
      </c>
      <c r="I294" s="15" t="s">
        <v>18</v>
      </c>
      <c r="J294" s="15" t="s">
        <v>19</v>
      </c>
      <c r="K294">
        <v>3</v>
      </c>
      <c r="L294">
        <v>1</v>
      </c>
      <c r="M294">
        <v>1</v>
      </c>
      <c r="N294">
        <v>3</v>
      </c>
      <c r="O294">
        <v>4</v>
      </c>
      <c r="P294">
        <v>1</v>
      </c>
    </row>
    <row r="295" spans="1:16" x14ac:dyDescent="0.3">
      <c r="A295" s="7" t="s">
        <v>260</v>
      </c>
      <c r="B295" t="s">
        <v>257</v>
      </c>
      <c r="C295" t="s">
        <v>258</v>
      </c>
      <c r="D295" s="1">
        <v>45381</v>
      </c>
      <c r="E295" s="17">
        <v>0.24930555555555556</v>
      </c>
      <c r="F295" s="17">
        <v>0.25624999999999998</v>
      </c>
      <c r="H295" t="s">
        <v>76</v>
      </c>
      <c r="I295" s="2" t="s">
        <v>77</v>
      </c>
      <c r="J295" s="2" t="s">
        <v>78</v>
      </c>
      <c r="K295">
        <v>1</v>
      </c>
      <c r="L295">
        <v>2</v>
      </c>
      <c r="M295">
        <v>1</v>
      </c>
      <c r="N295">
        <v>4</v>
      </c>
      <c r="O295">
        <v>1</v>
      </c>
      <c r="P295">
        <v>1</v>
      </c>
    </row>
    <row r="296" spans="1:16" x14ac:dyDescent="0.3">
      <c r="A296" s="7" t="s">
        <v>286</v>
      </c>
      <c r="B296" t="s">
        <v>285</v>
      </c>
      <c r="C296" t="s">
        <v>258</v>
      </c>
      <c r="D296" s="1">
        <v>45381</v>
      </c>
      <c r="E296" s="17">
        <v>0.24930555555555556</v>
      </c>
      <c r="F296" s="17">
        <v>0.25624999999999998</v>
      </c>
      <c r="H296" t="s">
        <v>76</v>
      </c>
      <c r="I296" s="2" t="s">
        <v>77</v>
      </c>
      <c r="J296" s="2" t="s">
        <v>78</v>
      </c>
      <c r="K296">
        <v>1</v>
      </c>
      <c r="L296">
        <v>2</v>
      </c>
      <c r="M296">
        <v>1</v>
      </c>
      <c r="N296">
        <v>4</v>
      </c>
      <c r="O296">
        <v>1</v>
      </c>
      <c r="P296">
        <v>1</v>
      </c>
    </row>
    <row r="297" spans="1:16" x14ac:dyDescent="0.3">
      <c r="A297" s="7" t="s">
        <v>284</v>
      </c>
      <c r="B297" t="s">
        <v>283</v>
      </c>
      <c r="C297" t="s">
        <v>274</v>
      </c>
      <c r="D297" s="1">
        <v>45381</v>
      </c>
      <c r="E297" s="17">
        <v>0.249305555555556</v>
      </c>
      <c r="F297" s="17">
        <v>0.25624999999999998</v>
      </c>
      <c r="H297" t="s">
        <v>76</v>
      </c>
      <c r="I297" s="2" t="s">
        <v>77</v>
      </c>
      <c r="J297" s="2" t="s">
        <v>78</v>
      </c>
      <c r="K297">
        <v>1</v>
      </c>
      <c r="L297">
        <v>2</v>
      </c>
      <c r="M297">
        <v>1</v>
      </c>
      <c r="N297">
        <v>4</v>
      </c>
      <c r="O297">
        <v>1</v>
      </c>
      <c r="P297">
        <v>1</v>
      </c>
    </row>
    <row r="298" spans="1:16" x14ac:dyDescent="0.3">
      <c r="A298" s="7" t="s">
        <v>271</v>
      </c>
      <c r="B298" t="s">
        <v>272</v>
      </c>
      <c r="C298" t="s">
        <v>258</v>
      </c>
      <c r="D298" s="1">
        <v>45381</v>
      </c>
      <c r="E298" s="17">
        <v>0.249305555555556</v>
      </c>
      <c r="F298" s="17">
        <v>0.25624999999999998</v>
      </c>
      <c r="H298" t="s">
        <v>76</v>
      </c>
      <c r="I298" s="2" t="s">
        <v>77</v>
      </c>
      <c r="J298" s="2" t="s">
        <v>78</v>
      </c>
      <c r="K298">
        <v>1</v>
      </c>
      <c r="L298">
        <v>2</v>
      </c>
      <c r="M298">
        <v>1</v>
      </c>
      <c r="N298">
        <v>4</v>
      </c>
      <c r="O298">
        <v>1</v>
      </c>
      <c r="P298">
        <v>1</v>
      </c>
    </row>
    <row r="299" spans="1:16" x14ac:dyDescent="0.3">
      <c r="A299" s="7" t="s">
        <v>259</v>
      </c>
      <c r="B299" t="s">
        <v>266</v>
      </c>
      <c r="C299" t="s">
        <v>258</v>
      </c>
      <c r="D299" s="1">
        <v>45381</v>
      </c>
      <c r="E299" s="17">
        <v>0.249305555555556</v>
      </c>
      <c r="F299" s="17">
        <v>0.25624999999999998</v>
      </c>
      <c r="H299" t="s">
        <v>76</v>
      </c>
      <c r="I299" s="2" t="s">
        <v>77</v>
      </c>
      <c r="J299" s="2" t="s">
        <v>78</v>
      </c>
      <c r="K299">
        <v>1</v>
      </c>
      <c r="L299">
        <v>2</v>
      </c>
      <c r="M299">
        <v>1</v>
      </c>
      <c r="N299">
        <v>4</v>
      </c>
      <c r="O299">
        <v>1</v>
      </c>
      <c r="P299">
        <v>1</v>
      </c>
    </row>
    <row r="300" spans="1:16" x14ac:dyDescent="0.3">
      <c r="A300" s="7" t="s">
        <v>263</v>
      </c>
      <c r="B300" t="s">
        <v>268</v>
      </c>
      <c r="C300" t="s">
        <v>258</v>
      </c>
      <c r="D300" s="1">
        <v>45381</v>
      </c>
      <c r="E300" s="17">
        <v>0.249305555555556</v>
      </c>
      <c r="F300" s="17">
        <v>0.25624999999999998</v>
      </c>
      <c r="H300" t="s">
        <v>76</v>
      </c>
      <c r="I300" s="2" t="s">
        <v>77</v>
      </c>
      <c r="J300" s="2" t="s">
        <v>78</v>
      </c>
      <c r="K300">
        <v>1</v>
      </c>
      <c r="L300">
        <v>2</v>
      </c>
      <c r="M300">
        <v>1</v>
      </c>
      <c r="N300">
        <v>4</v>
      </c>
      <c r="O300">
        <v>1</v>
      </c>
      <c r="P300">
        <v>1</v>
      </c>
    </row>
    <row r="301" spans="1:16" x14ac:dyDescent="0.3">
      <c r="A301" s="7" t="s">
        <v>269</v>
      </c>
      <c r="B301" t="s">
        <v>267</v>
      </c>
      <c r="C301" t="s">
        <v>258</v>
      </c>
      <c r="D301" s="1">
        <v>45381</v>
      </c>
      <c r="E301" s="17">
        <v>0.249305555555556</v>
      </c>
      <c r="F301" s="17">
        <v>0.25624999999999998</v>
      </c>
      <c r="H301" t="s">
        <v>76</v>
      </c>
      <c r="I301" s="2" t="s">
        <v>77</v>
      </c>
      <c r="J301" s="2" t="s">
        <v>78</v>
      </c>
      <c r="K301">
        <v>1</v>
      </c>
      <c r="L301">
        <v>2</v>
      </c>
      <c r="M301">
        <v>1</v>
      </c>
      <c r="N301">
        <v>4</v>
      </c>
      <c r="O301">
        <v>1</v>
      </c>
      <c r="P301">
        <v>1</v>
      </c>
    </row>
    <row r="302" spans="1:16" x14ac:dyDescent="0.3">
      <c r="A302" s="7" t="s">
        <v>262</v>
      </c>
      <c r="B302" t="s">
        <v>264</v>
      </c>
      <c r="C302" t="s">
        <v>258</v>
      </c>
      <c r="D302" s="1">
        <v>45381</v>
      </c>
      <c r="E302" s="17">
        <v>0.249305555555556</v>
      </c>
      <c r="F302" s="17">
        <v>0.25624999999999998</v>
      </c>
      <c r="H302" t="s">
        <v>76</v>
      </c>
      <c r="I302" s="2" t="s">
        <v>77</v>
      </c>
      <c r="J302" s="2" t="s">
        <v>78</v>
      </c>
      <c r="K302">
        <v>1</v>
      </c>
      <c r="L302">
        <v>2</v>
      </c>
      <c r="M302">
        <v>1</v>
      </c>
      <c r="N302">
        <v>4</v>
      </c>
      <c r="O302">
        <v>1</v>
      </c>
      <c r="P302">
        <v>1</v>
      </c>
    </row>
    <row r="303" spans="1:16" x14ac:dyDescent="0.3">
      <c r="A303" s="7" t="s">
        <v>260</v>
      </c>
      <c r="B303" t="s">
        <v>257</v>
      </c>
      <c r="C303" t="s">
        <v>258</v>
      </c>
      <c r="D303" s="1">
        <v>45381</v>
      </c>
      <c r="E303" s="9">
        <v>0.25</v>
      </c>
      <c r="F303" s="9">
        <v>0.25694444444444398</v>
      </c>
      <c r="H303" s="4" t="s">
        <v>80</v>
      </c>
      <c r="I303" s="5" t="s">
        <v>81</v>
      </c>
      <c r="J303" s="5" t="s">
        <v>82</v>
      </c>
      <c r="K303">
        <v>1</v>
      </c>
      <c r="L303">
        <v>1</v>
      </c>
      <c r="M303">
        <v>1</v>
      </c>
      <c r="N303">
        <v>3</v>
      </c>
      <c r="O303">
        <v>1</v>
      </c>
      <c r="P303">
        <v>1</v>
      </c>
    </row>
    <row r="304" spans="1:16" x14ac:dyDescent="0.3">
      <c r="A304" s="7" t="s">
        <v>286</v>
      </c>
      <c r="B304" t="s">
        <v>285</v>
      </c>
      <c r="C304" t="s">
        <v>258</v>
      </c>
      <c r="D304" s="1">
        <v>45381</v>
      </c>
      <c r="E304" s="9">
        <v>0.25</v>
      </c>
      <c r="F304" s="9">
        <v>0.25694444444444398</v>
      </c>
      <c r="H304" s="4" t="s">
        <v>80</v>
      </c>
      <c r="I304" s="5" t="s">
        <v>81</v>
      </c>
      <c r="J304" s="5" t="s">
        <v>82</v>
      </c>
      <c r="K304">
        <v>1</v>
      </c>
      <c r="L304">
        <v>1</v>
      </c>
      <c r="M304">
        <v>1</v>
      </c>
      <c r="N304">
        <v>3</v>
      </c>
      <c r="O304">
        <v>1</v>
      </c>
      <c r="P304">
        <v>1</v>
      </c>
    </row>
    <row r="305" spans="1:16" x14ac:dyDescent="0.3">
      <c r="A305" s="7" t="s">
        <v>262</v>
      </c>
      <c r="B305" t="s">
        <v>264</v>
      </c>
      <c r="C305" t="s">
        <v>258</v>
      </c>
      <c r="D305" s="1">
        <v>45381</v>
      </c>
      <c r="E305" s="9">
        <v>0.25</v>
      </c>
      <c r="F305" s="9">
        <v>0.25694444444444398</v>
      </c>
      <c r="H305" s="4" t="s">
        <v>80</v>
      </c>
      <c r="I305" s="5" t="s">
        <v>81</v>
      </c>
      <c r="J305" s="5" t="s">
        <v>82</v>
      </c>
      <c r="K305">
        <v>1</v>
      </c>
      <c r="L305">
        <v>1</v>
      </c>
      <c r="M305">
        <v>1</v>
      </c>
      <c r="N305">
        <v>3</v>
      </c>
      <c r="O305">
        <v>1</v>
      </c>
      <c r="P305">
        <v>1</v>
      </c>
    </row>
    <row r="306" spans="1:16" x14ac:dyDescent="0.3">
      <c r="A306" s="7" t="s">
        <v>261</v>
      </c>
      <c r="B306" t="s">
        <v>265</v>
      </c>
      <c r="C306" t="s">
        <v>258</v>
      </c>
      <c r="D306" s="1">
        <v>45381</v>
      </c>
      <c r="E306" s="9">
        <v>0.25</v>
      </c>
      <c r="F306" s="9">
        <v>0.25694444444444398</v>
      </c>
      <c r="H306" s="4" t="s">
        <v>80</v>
      </c>
      <c r="I306" s="5" t="s">
        <v>81</v>
      </c>
      <c r="J306" s="5" t="s">
        <v>82</v>
      </c>
      <c r="K306">
        <v>1</v>
      </c>
      <c r="L306">
        <v>1</v>
      </c>
      <c r="M306">
        <v>1</v>
      </c>
      <c r="N306">
        <v>3</v>
      </c>
      <c r="O306">
        <v>1</v>
      </c>
      <c r="P306">
        <v>1</v>
      </c>
    </row>
    <row r="307" spans="1:16" x14ac:dyDescent="0.3">
      <c r="A307" s="7" t="s">
        <v>271</v>
      </c>
      <c r="B307" t="s">
        <v>272</v>
      </c>
      <c r="C307" t="s">
        <v>258</v>
      </c>
      <c r="D307" s="1">
        <v>45381</v>
      </c>
      <c r="E307" s="17">
        <v>0.26111111111111113</v>
      </c>
      <c r="F307" s="17">
        <v>0.26805555555555555</v>
      </c>
      <c r="H307" t="s">
        <v>84</v>
      </c>
      <c r="I307" s="2" t="s">
        <v>85</v>
      </c>
      <c r="J307" s="2" t="s">
        <v>86</v>
      </c>
      <c r="K307">
        <v>1</v>
      </c>
      <c r="L307">
        <v>3</v>
      </c>
      <c r="M307">
        <v>1</v>
      </c>
      <c r="N307">
        <v>3</v>
      </c>
      <c r="O307">
        <v>1</v>
      </c>
      <c r="P307">
        <v>3</v>
      </c>
    </row>
    <row r="308" spans="1:16" x14ac:dyDescent="0.3">
      <c r="A308" s="7" t="s">
        <v>286</v>
      </c>
      <c r="B308" t="s">
        <v>285</v>
      </c>
      <c r="C308" t="s">
        <v>258</v>
      </c>
      <c r="D308" s="1">
        <v>45381</v>
      </c>
      <c r="E308" s="17">
        <v>0.26111111111111113</v>
      </c>
      <c r="F308" s="17">
        <v>0.26805555555555555</v>
      </c>
      <c r="H308" t="s">
        <v>84</v>
      </c>
      <c r="I308" s="2" t="s">
        <v>85</v>
      </c>
      <c r="J308" s="2" t="s">
        <v>86</v>
      </c>
      <c r="K308">
        <v>1</v>
      </c>
      <c r="L308">
        <v>3</v>
      </c>
      <c r="M308">
        <v>1</v>
      </c>
      <c r="N308">
        <v>3</v>
      </c>
      <c r="O308">
        <v>1</v>
      </c>
      <c r="P308">
        <v>3</v>
      </c>
    </row>
    <row r="309" spans="1:16" x14ac:dyDescent="0.3">
      <c r="A309" s="7" t="s">
        <v>260</v>
      </c>
      <c r="B309" t="s">
        <v>257</v>
      </c>
      <c r="C309" t="s">
        <v>258</v>
      </c>
      <c r="D309" s="1">
        <v>45381</v>
      </c>
      <c r="E309" s="17">
        <v>0.26111111111111113</v>
      </c>
      <c r="F309" s="17">
        <v>0.26805555555555555</v>
      </c>
      <c r="H309" t="s">
        <v>84</v>
      </c>
      <c r="I309" s="2" t="s">
        <v>85</v>
      </c>
      <c r="J309" s="2" t="s">
        <v>86</v>
      </c>
      <c r="K309">
        <v>1</v>
      </c>
      <c r="L309">
        <v>3</v>
      </c>
      <c r="M309">
        <v>1</v>
      </c>
      <c r="N309">
        <v>3</v>
      </c>
      <c r="O309">
        <v>1</v>
      </c>
      <c r="P309">
        <v>3</v>
      </c>
    </row>
    <row r="310" spans="1:16" x14ac:dyDescent="0.3">
      <c r="A310" s="7" t="s">
        <v>262</v>
      </c>
      <c r="B310" t="s">
        <v>264</v>
      </c>
      <c r="C310" t="s">
        <v>258</v>
      </c>
      <c r="D310" s="1">
        <v>45381</v>
      </c>
      <c r="E310" s="17">
        <v>0.26111111111111113</v>
      </c>
      <c r="F310" s="17">
        <v>0.26805555555555555</v>
      </c>
      <c r="H310" t="s">
        <v>84</v>
      </c>
      <c r="I310" s="2" t="s">
        <v>85</v>
      </c>
      <c r="J310" s="2" t="s">
        <v>86</v>
      </c>
      <c r="K310">
        <v>1</v>
      </c>
      <c r="L310">
        <v>3</v>
      </c>
      <c r="M310">
        <v>1</v>
      </c>
      <c r="N310">
        <v>3</v>
      </c>
      <c r="O310">
        <v>1</v>
      </c>
      <c r="P310">
        <v>3</v>
      </c>
    </row>
    <row r="311" spans="1:16" x14ac:dyDescent="0.3">
      <c r="A311" s="7" t="s">
        <v>284</v>
      </c>
      <c r="B311" t="s">
        <v>283</v>
      </c>
      <c r="C311" t="s">
        <v>274</v>
      </c>
      <c r="D311" s="1">
        <v>45381</v>
      </c>
      <c r="E311" s="17">
        <v>0.26111111111111113</v>
      </c>
      <c r="F311" s="17">
        <v>0.26805555555555555</v>
      </c>
      <c r="H311" t="s">
        <v>84</v>
      </c>
      <c r="I311" s="2" t="s">
        <v>85</v>
      </c>
      <c r="J311" s="2" t="s">
        <v>86</v>
      </c>
      <c r="K311">
        <v>1</v>
      </c>
      <c r="L311">
        <v>3</v>
      </c>
      <c r="M311">
        <v>1</v>
      </c>
      <c r="N311">
        <v>3</v>
      </c>
      <c r="O311">
        <v>1</v>
      </c>
      <c r="P311">
        <v>3</v>
      </c>
    </row>
    <row r="312" spans="1:16" x14ac:dyDescent="0.3">
      <c r="A312" s="7" t="s">
        <v>269</v>
      </c>
      <c r="B312" t="s">
        <v>267</v>
      </c>
      <c r="C312" t="s">
        <v>258</v>
      </c>
      <c r="D312" s="1">
        <v>45381</v>
      </c>
      <c r="E312" s="17">
        <v>0.26111111111111113</v>
      </c>
      <c r="F312" s="17">
        <v>0.26805555555555555</v>
      </c>
      <c r="H312" t="s">
        <v>84</v>
      </c>
      <c r="I312" s="2" t="s">
        <v>85</v>
      </c>
      <c r="J312" s="2" t="s">
        <v>86</v>
      </c>
      <c r="K312">
        <v>1</v>
      </c>
      <c r="L312">
        <v>3</v>
      </c>
      <c r="M312">
        <v>1</v>
      </c>
      <c r="N312">
        <v>3</v>
      </c>
      <c r="O312">
        <v>1</v>
      </c>
      <c r="P312">
        <v>3</v>
      </c>
    </row>
    <row r="313" spans="1:16" x14ac:dyDescent="0.3">
      <c r="A313" s="7" t="s">
        <v>259</v>
      </c>
      <c r="B313" t="s">
        <v>266</v>
      </c>
      <c r="C313" t="s">
        <v>258</v>
      </c>
      <c r="D313" s="1">
        <v>45381</v>
      </c>
      <c r="E313" s="17">
        <v>0.25624999999999998</v>
      </c>
      <c r="F313" s="17">
        <v>0.26319444444444445</v>
      </c>
      <c r="H313" s="4" t="s">
        <v>88</v>
      </c>
      <c r="I313" s="5" t="s">
        <v>85</v>
      </c>
      <c r="J313" s="5" t="s">
        <v>86</v>
      </c>
      <c r="K313">
        <v>1</v>
      </c>
      <c r="L313">
        <v>5</v>
      </c>
      <c r="M313">
        <v>1</v>
      </c>
      <c r="N313">
        <v>3</v>
      </c>
      <c r="O313">
        <v>1</v>
      </c>
      <c r="P313">
        <v>2</v>
      </c>
    </row>
    <row r="314" spans="1:16" x14ac:dyDescent="0.3">
      <c r="A314" s="7" t="s">
        <v>262</v>
      </c>
      <c r="B314" t="s">
        <v>264</v>
      </c>
      <c r="C314" t="s">
        <v>258</v>
      </c>
      <c r="D314" s="1">
        <v>45381</v>
      </c>
      <c r="E314" s="17">
        <v>0.25624999999999998</v>
      </c>
      <c r="F314" s="17">
        <v>0.26319444444444445</v>
      </c>
      <c r="H314" s="4" t="s">
        <v>88</v>
      </c>
      <c r="I314" s="5" t="s">
        <v>85</v>
      </c>
      <c r="J314" s="5" t="s">
        <v>86</v>
      </c>
      <c r="K314">
        <v>1</v>
      </c>
      <c r="L314">
        <v>5</v>
      </c>
      <c r="M314">
        <v>1</v>
      </c>
      <c r="N314">
        <v>3</v>
      </c>
      <c r="O314">
        <v>1</v>
      </c>
      <c r="P314">
        <v>2</v>
      </c>
    </row>
    <row r="315" spans="1:16" x14ac:dyDescent="0.3">
      <c r="A315" s="7" t="s">
        <v>286</v>
      </c>
      <c r="B315" t="s">
        <v>285</v>
      </c>
      <c r="C315" t="s">
        <v>258</v>
      </c>
      <c r="D315" s="1">
        <v>45381</v>
      </c>
      <c r="E315" s="17">
        <v>0.25624999999999998</v>
      </c>
      <c r="F315" s="17">
        <v>0.26319444444444401</v>
      </c>
      <c r="H315" s="4" t="s">
        <v>88</v>
      </c>
      <c r="I315" s="5" t="s">
        <v>85</v>
      </c>
      <c r="J315" s="5" t="s">
        <v>86</v>
      </c>
      <c r="K315">
        <v>1</v>
      </c>
      <c r="L315">
        <v>5</v>
      </c>
      <c r="M315">
        <v>1</v>
      </c>
      <c r="N315">
        <v>3</v>
      </c>
      <c r="O315">
        <v>1</v>
      </c>
      <c r="P315">
        <v>2</v>
      </c>
    </row>
    <row r="316" spans="1:16" x14ac:dyDescent="0.3">
      <c r="A316" s="7" t="s">
        <v>271</v>
      </c>
      <c r="B316" t="s">
        <v>272</v>
      </c>
      <c r="C316" t="s">
        <v>258</v>
      </c>
      <c r="D316" s="1">
        <v>45381</v>
      </c>
      <c r="E316" s="17">
        <v>0.25624999999999998</v>
      </c>
      <c r="F316" s="17">
        <v>0.26319444444444401</v>
      </c>
      <c r="H316" s="4" t="s">
        <v>88</v>
      </c>
      <c r="I316" s="5" t="s">
        <v>85</v>
      </c>
      <c r="J316" s="5" t="s">
        <v>86</v>
      </c>
      <c r="K316">
        <v>1</v>
      </c>
      <c r="L316">
        <v>5</v>
      </c>
      <c r="M316">
        <v>1</v>
      </c>
      <c r="N316">
        <v>3</v>
      </c>
      <c r="O316">
        <v>1</v>
      </c>
      <c r="P316">
        <v>2</v>
      </c>
    </row>
    <row r="317" spans="1:16" x14ac:dyDescent="0.3">
      <c r="A317" s="7" t="s">
        <v>260</v>
      </c>
      <c r="B317" t="s">
        <v>257</v>
      </c>
      <c r="C317" t="s">
        <v>258</v>
      </c>
      <c r="D317" s="1">
        <v>45381</v>
      </c>
      <c r="E317" s="17">
        <v>0.25624999999999998</v>
      </c>
      <c r="F317" s="17">
        <v>0.26319444444444401</v>
      </c>
      <c r="H317" s="4" t="s">
        <v>88</v>
      </c>
      <c r="I317" s="5" t="s">
        <v>85</v>
      </c>
      <c r="J317" s="5" t="s">
        <v>86</v>
      </c>
      <c r="K317">
        <v>1</v>
      </c>
      <c r="L317">
        <v>5</v>
      </c>
      <c r="M317">
        <v>1</v>
      </c>
      <c r="N317">
        <v>3</v>
      </c>
      <c r="O317">
        <v>1</v>
      </c>
      <c r="P317">
        <v>2</v>
      </c>
    </row>
    <row r="318" spans="1:16" x14ac:dyDescent="0.3">
      <c r="A318" s="7" t="s">
        <v>260</v>
      </c>
      <c r="B318" t="s">
        <v>257</v>
      </c>
      <c r="C318" t="s">
        <v>258</v>
      </c>
      <c r="D318" s="1">
        <v>45394</v>
      </c>
      <c r="E318" s="17">
        <v>0.25</v>
      </c>
      <c r="F318" s="17">
        <v>0.25694444444444442</v>
      </c>
      <c r="H318" t="s">
        <v>93</v>
      </c>
      <c r="I318" s="2" t="s">
        <v>94</v>
      </c>
      <c r="J318" s="2" t="s">
        <v>95</v>
      </c>
      <c r="K318">
        <v>1</v>
      </c>
      <c r="L318">
        <v>1</v>
      </c>
      <c r="M318">
        <v>1</v>
      </c>
      <c r="N318">
        <v>5</v>
      </c>
      <c r="O318">
        <v>1</v>
      </c>
      <c r="P318">
        <v>2</v>
      </c>
    </row>
    <row r="319" spans="1:16" x14ac:dyDescent="0.3">
      <c r="A319" s="7" t="s">
        <v>259</v>
      </c>
      <c r="B319" t="s">
        <v>266</v>
      </c>
      <c r="C319" t="s">
        <v>258</v>
      </c>
      <c r="D319" s="1">
        <v>45394</v>
      </c>
      <c r="E319" s="17">
        <v>0.25</v>
      </c>
      <c r="F319" s="17">
        <v>0.25694444444444442</v>
      </c>
      <c r="H319" t="s">
        <v>93</v>
      </c>
      <c r="I319" s="2" t="s">
        <v>94</v>
      </c>
      <c r="J319" s="2" t="s">
        <v>95</v>
      </c>
      <c r="K319">
        <v>1</v>
      </c>
      <c r="L319">
        <v>1</v>
      </c>
      <c r="M319">
        <v>1</v>
      </c>
      <c r="N319">
        <v>5</v>
      </c>
      <c r="O319">
        <v>1</v>
      </c>
      <c r="P319">
        <v>2</v>
      </c>
    </row>
    <row r="320" spans="1:16" x14ac:dyDescent="0.3">
      <c r="A320" s="7" t="s">
        <v>261</v>
      </c>
      <c r="B320" t="s">
        <v>265</v>
      </c>
      <c r="C320" t="s">
        <v>258</v>
      </c>
      <c r="D320" s="1">
        <v>45394</v>
      </c>
      <c r="E320" s="17">
        <v>0.25</v>
      </c>
      <c r="F320" s="17">
        <v>0.25694444444444398</v>
      </c>
      <c r="H320" t="s">
        <v>93</v>
      </c>
      <c r="I320" s="2" t="s">
        <v>94</v>
      </c>
      <c r="J320" s="2" t="s">
        <v>95</v>
      </c>
      <c r="K320">
        <v>1</v>
      </c>
      <c r="L320">
        <v>1</v>
      </c>
      <c r="M320">
        <v>1</v>
      </c>
      <c r="N320">
        <v>5</v>
      </c>
      <c r="O320">
        <v>1</v>
      </c>
      <c r="P320">
        <v>2</v>
      </c>
    </row>
    <row r="321" spans="1:16" x14ac:dyDescent="0.3">
      <c r="A321" s="7" t="s">
        <v>271</v>
      </c>
      <c r="B321" t="s">
        <v>272</v>
      </c>
      <c r="C321" t="s">
        <v>258</v>
      </c>
      <c r="D321" s="1">
        <v>45394</v>
      </c>
      <c r="E321" s="17">
        <v>0.25</v>
      </c>
      <c r="F321" s="17">
        <v>0.25694444444444398</v>
      </c>
      <c r="H321" t="s">
        <v>93</v>
      </c>
      <c r="I321" s="2" t="s">
        <v>94</v>
      </c>
      <c r="J321" s="2" t="s">
        <v>95</v>
      </c>
      <c r="K321">
        <v>1</v>
      </c>
      <c r="L321">
        <v>1</v>
      </c>
      <c r="M321">
        <v>1</v>
      </c>
      <c r="N321">
        <v>5</v>
      </c>
      <c r="O321">
        <v>1</v>
      </c>
      <c r="P321">
        <v>2</v>
      </c>
    </row>
    <row r="322" spans="1:16" x14ac:dyDescent="0.3">
      <c r="A322" s="7" t="s">
        <v>286</v>
      </c>
      <c r="B322" t="s">
        <v>285</v>
      </c>
      <c r="C322" t="s">
        <v>258</v>
      </c>
      <c r="D322" s="1">
        <v>45394</v>
      </c>
      <c r="E322" s="17">
        <v>0.25</v>
      </c>
      <c r="F322" s="17">
        <v>0.25694444444444398</v>
      </c>
      <c r="H322" t="s">
        <v>93</v>
      </c>
      <c r="I322" s="2" t="s">
        <v>94</v>
      </c>
      <c r="J322" s="2" t="s">
        <v>95</v>
      </c>
      <c r="K322">
        <v>1</v>
      </c>
      <c r="L322">
        <v>1</v>
      </c>
      <c r="M322">
        <v>1</v>
      </c>
      <c r="N322">
        <v>5</v>
      </c>
      <c r="O322">
        <v>1</v>
      </c>
      <c r="P322">
        <v>2</v>
      </c>
    </row>
    <row r="323" spans="1:16" x14ac:dyDescent="0.3">
      <c r="A323" s="7" t="s">
        <v>262</v>
      </c>
      <c r="B323" t="s">
        <v>264</v>
      </c>
      <c r="C323" t="s">
        <v>258</v>
      </c>
      <c r="D323" s="1">
        <v>45394</v>
      </c>
      <c r="E323" s="17">
        <v>0.25</v>
      </c>
      <c r="F323" s="17">
        <v>0.25694444444444398</v>
      </c>
      <c r="H323" t="s">
        <v>93</v>
      </c>
      <c r="I323" s="2" t="s">
        <v>94</v>
      </c>
      <c r="J323" s="2" t="s">
        <v>95</v>
      </c>
      <c r="K323">
        <v>1</v>
      </c>
      <c r="L323">
        <v>1</v>
      </c>
      <c r="M323">
        <v>1</v>
      </c>
      <c r="N323">
        <v>5</v>
      </c>
      <c r="O323">
        <v>1</v>
      </c>
      <c r="P323">
        <v>2</v>
      </c>
    </row>
    <row r="324" spans="1:16" x14ac:dyDescent="0.3">
      <c r="A324" s="7" t="s">
        <v>305</v>
      </c>
      <c r="B324" t="s">
        <v>306</v>
      </c>
      <c r="C324" t="s">
        <v>258</v>
      </c>
      <c r="D324" s="1">
        <v>45394</v>
      </c>
      <c r="E324" s="17">
        <v>0.25</v>
      </c>
      <c r="F324" s="17">
        <v>0.25694444444444398</v>
      </c>
      <c r="H324" t="s">
        <v>93</v>
      </c>
      <c r="I324" s="2" t="s">
        <v>94</v>
      </c>
      <c r="J324" s="2" t="s">
        <v>95</v>
      </c>
      <c r="K324">
        <v>1</v>
      </c>
      <c r="L324">
        <v>1</v>
      </c>
      <c r="M324">
        <v>1</v>
      </c>
      <c r="N324">
        <v>5</v>
      </c>
      <c r="O324">
        <v>1</v>
      </c>
      <c r="P324">
        <v>2</v>
      </c>
    </row>
    <row r="325" spans="1:16" x14ac:dyDescent="0.3">
      <c r="A325" s="7" t="s">
        <v>259</v>
      </c>
      <c r="B325" t="s">
        <v>266</v>
      </c>
      <c r="C325" t="s">
        <v>258</v>
      </c>
      <c r="D325" s="1">
        <v>45394</v>
      </c>
      <c r="E325" s="17">
        <v>0.25</v>
      </c>
      <c r="F325" s="17">
        <v>0.25694444444444398</v>
      </c>
      <c r="H325" s="4" t="s">
        <v>20</v>
      </c>
      <c r="I325" s="5" t="s">
        <v>22</v>
      </c>
      <c r="J325" s="5" t="s">
        <v>23</v>
      </c>
      <c r="K325">
        <v>1</v>
      </c>
      <c r="L325">
        <v>1</v>
      </c>
      <c r="M325">
        <v>1</v>
      </c>
      <c r="N325">
        <v>5</v>
      </c>
      <c r="O325">
        <v>2</v>
      </c>
      <c r="P325">
        <v>1</v>
      </c>
    </row>
    <row r="326" spans="1:16" x14ac:dyDescent="0.3">
      <c r="A326" s="7" t="s">
        <v>262</v>
      </c>
      <c r="B326" t="s">
        <v>264</v>
      </c>
      <c r="C326" t="s">
        <v>258</v>
      </c>
      <c r="D326" s="1">
        <v>45394</v>
      </c>
      <c r="E326" s="17">
        <v>0.25</v>
      </c>
      <c r="F326" s="17">
        <v>0.25694444444444398</v>
      </c>
      <c r="H326" s="4" t="s">
        <v>20</v>
      </c>
      <c r="I326" s="5" t="s">
        <v>22</v>
      </c>
      <c r="J326" s="5" t="s">
        <v>23</v>
      </c>
      <c r="K326">
        <v>1</v>
      </c>
      <c r="L326">
        <v>1</v>
      </c>
      <c r="M326">
        <v>1</v>
      </c>
      <c r="N326">
        <v>5</v>
      </c>
      <c r="O326">
        <v>2</v>
      </c>
      <c r="P326">
        <v>1</v>
      </c>
    </row>
    <row r="327" spans="1:16" x14ac:dyDescent="0.3">
      <c r="A327" s="7" t="s">
        <v>286</v>
      </c>
      <c r="B327" t="s">
        <v>285</v>
      </c>
      <c r="C327" t="s">
        <v>258</v>
      </c>
      <c r="D327" s="1">
        <v>45394</v>
      </c>
      <c r="E327" s="17">
        <v>0.25</v>
      </c>
      <c r="F327" s="17">
        <v>0.25694444444444398</v>
      </c>
      <c r="H327" s="4" t="s">
        <v>20</v>
      </c>
      <c r="I327" s="5" t="s">
        <v>22</v>
      </c>
      <c r="J327" s="5" t="s">
        <v>23</v>
      </c>
      <c r="K327">
        <v>1</v>
      </c>
      <c r="L327">
        <v>1</v>
      </c>
      <c r="M327">
        <v>1</v>
      </c>
      <c r="N327">
        <v>5</v>
      </c>
      <c r="O327">
        <v>2</v>
      </c>
      <c r="P327">
        <v>1</v>
      </c>
    </row>
    <row r="328" spans="1:16" x14ac:dyDescent="0.3">
      <c r="A328" s="7" t="s">
        <v>261</v>
      </c>
      <c r="B328" t="s">
        <v>265</v>
      </c>
      <c r="C328" t="s">
        <v>258</v>
      </c>
      <c r="D328" s="1">
        <v>45394</v>
      </c>
      <c r="E328" s="17">
        <v>0.25</v>
      </c>
      <c r="F328" s="17">
        <v>0.25694444444444398</v>
      </c>
      <c r="H328" s="4" t="s">
        <v>20</v>
      </c>
      <c r="I328" s="5" t="s">
        <v>22</v>
      </c>
      <c r="J328" s="5" t="s">
        <v>23</v>
      </c>
      <c r="K328">
        <v>1</v>
      </c>
      <c r="L328">
        <v>1</v>
      </c>
      <c r="M328">
        <v>1</v>
      </c>
      <c r="N328">
        <v>5</v>
      </c>
      <c r="O328">
        <v>2</v>
      </c>
      <c r="P328">
        <v>1</v>
      </c>
    </row>
    <row r="329" spans="1:16" x14ac:dyDescent="0.3">
      <c r="A329" s="7" t="s">
        <v>260</v>
      </c>
      <c r="B329" t="s">
        <v>257</v>
      </c>
      <c r="C329" t="s">
        <v>258</v>
      </c>
      <c r="D329" s="1">
        <v>45394</v>
      </c>
      <c r="E329" s="17">
        <v>0.25</v>
      </c>
      <c r="F329" s="17">
        <v>0.25694444444444398</v>
      </c>
      <c r="H329" s="4" t="s">
        <v>20</v>
      </c>
      <c r="I329" s="5" t="s">
        <v>22</v>
      </c>
      <c r="J329" s="5" t="s">
        <v>23</v>
      </c>
      <c r="K329">
        <v>1</v>
      </c>
      <c r="L329">
        <v>1</v>
      </c>
      <c r="M329">
        <v>1</v>
      </c>
      <c r="N329">
        <v>5</v>
      </c>
      <c r="O329">
        <v>2</v>
      </c>
      <c r="P329">
        <v>1</v>
      </c>
    </row>
    <row r="330" spans="1:16" x14ac:dyDescent="0.3">
      <c r="A330" s="7" t="s">
        <v>271</v>
      </c>
      <c r="B330" t="s">
        <v>272</v>
      </c>
      <c r="C330" t="s">
        <v>258</v>
      </c>
      <c r="D330" s="1">
        <v>45394</v>
      </c>
      <c r="E330" s="17">
        <v>0.25</v>
      </c>
      <c r="F330" s="17">
        <v>0.25694444444444398</v>
      </c>
      <c r="H330" s="4" t="s">
        <v>20</v>
      </c>
      <c r="I330" s="5" t="s">
        <v>22</v>
      </c>
      <c r="J330" s="5" t="s">
        <v>23</v>
      </c>
      <c r="K330">
        <v>1</v>
      </c>
      <c r="L330">
        <v>1</v>
      </c>
      <c r="M330">
        <v>1</v>
      </c>
      <c r="N330">
        <v>5</v>
      </c>
      <c r="O330">
        <v>2</v>
      </c>
      <c r="P330">
        <v>1</v>
      </c>
    </row>
    <row r="331" spans="1:16" x14ac:dyDescent="0.3">
      <c r="A331" s="7" t="s">
        <v>284</v>
      </c>
      <c r="B331" t="s">
        <v>283</v>
      </c>
      <c r="C331" t="s">
        <v>274</v>
      </c>
      <c r="D331" s="1">
        <v>45394</v>
      </c>
      <c r="E331" s="17">
        <v>0.25</v>
      </c>
      <c r="F331" s="17">
        <v>0.25694444444444398</v>
      </c>
      <c r="H331" s="4" t="s">
        <v>20</v>
      </c>
      <c r="I331" s="5" t="s">
        <v>22</v>
      </c>
      <c r="J331" s="5" t="s">
        <v>23</v>
      </c>
      <c r="K331">
        <v>1</v>
      </c>
      <c r="L331">
        <v>1</v>
      </c>
      <c r="M331">
        <v>1</v>
      </c>
      <c r="N331">
        <v>5</v>
      </c>
      <c r="O331">
        <v>2</v>
      </c>
      <c r="P331">
        <v>1</v>
      </c>
    </row>
    <row r="332" spans="1:16" x14ac:dyDescent="0.3">
      <c r="A332" s="7" t="s">
        <v>269</v>
      </c>
      <c r="B332" t="s">
        <v>267</v>
      </c>
      <c r="C332" t="s">
        <v>258</v>
      </c>
      <c r="D332" s="1">
        <v>45394</v>
      </c>
      <c r="E332" s="17">
        <v>0.25</v>
      </c>
      <c r="F332" s="17">
        <v>0.25694444444444398</v>
      </c>
      <c r="H332" s="4" t="s">
        <v>20</v>
      </c>
      <c r="I332" s="5" t="s">
        <v>22</v>
      </c>
      <c r="J332" s="5" t="s">
        <v>23</v>
      </c>
      <c r="K332">
        <v>1</v>
      </c>
      <c r="L332">
        <v>1</v>
      </c>
      <c r="M332">
        <v>1</v>
      </c>
      <c r="N332">
        <v>5</v>
      </c>
      <c r="O332">
        <v>2</v>
      </c>
      <c r="P332">
        <v>1</v>
      </c>
    </row>
    <row r="333" spans="1:16" x14ac:dyDescent="0.3">
      <c r="A333" s="7" t="s">
        <v>259</v>
      </c>
      <c r="B333" t="s">
        <v>266</v>
      </c>
      <c r="C333" t="s">
        <v>258</v>
      </c>
      <c r="D333" s="1">
        <v>45394</v>
      </c>
      <c r="E333" s="17">
        <v>0.25</v>
      </c>
      <c r="F333" s="17">
        <v>0.25694444444444398</v>
      </c>
      <c r="G333" t="s">
        <v>315</v>
      </c>
      <c r="H333" t="s">
        <v>96</v>
      </c>
      <c r="I333" s="2" t="s">
        <v>99</v>
      </c>
      <c r="J333" s="2" t="s">
        <v>100</v>
      </c>
      <c r="K333">
        <v>1</v>
      </c>
      <c r="L333">
        <v>1</v>
      </c>
      <c r="M333">
        <v>1</v>
      </c>
      <c r="N333">
        <v>2</v>
      </c>
      <c r="O333">
        <v>5</v>
      </c>
      <c r="P333">
        <v>1</v>
      </c>
    </row>
    <row r="334" spans="1:16" x14ac:dyDescent="0.3">
      <c r="A334" s="7" t="s">
        <v>286</v>
      </c>
      <c r="B334" t="s">
        <v>285</v>
      </c>
      <c r="C334" t="s">
        <v>258</v>
      </c>
      <c r="D334" s="1">
        <v>45394</v>
      </c>
      <c r="E334" s="17">
        <v>0.25</v>
      </c>
      <c r="F334" s="17">
        <v>0.25694444444444398</v>
      </c>
      <c r="G334" t="s">
        <v>315</v>
      </c>
      <c r="H334" t="s">
        <v>96</v>
      </c>
      <c r="I334" s="2" t="s">
        <v>99</v>
      </c>
      <c r="J334" s="2" t="s">
        <v>100</v>
      </c>
      <c r="K334">
        <v>1</v>
      </c>
      <c r="L334">
        <v>1</v>
      </c>
      <c r="M334">
        <v>1</v>
      </c>
      <c r="N334">
        <v>2</v>
      </c>
      <c r="O334">
        <v>5</v>
      </c>
      <c r="P334">
        <v>1</v>
      </c>
    </row>
    <row r="335" spans="1:16" x14ac:dyDescent="0.3">
      <c r="A335" s="7" t="s">
        <v>260</v>
      </c>
      <c r="B335" t="s">
        <v>257</v>
      </c>
      <c r="C335" t="s">
        <v>258</v>
      </c>
      <c r="D335" s="1">
        <v>45394</v>
      </c>
      <c r="E335" s="17">
        <v>0.25</v>
      </c>
      <c r="F335" s="17">
        <v>0.25694444444444398</v>
      </c>
      <c r="G335" t="s">
        <v>315</v>
      </c>
      <c r="H335" t="s">
        <v>96</v>
      </c>
      <c r="I335" s="2" t="s">
        <v>99</v>
      </c>
      <c r="J335" s="2" t="s">
        <v>100</v>
      </c>
      <c r="K335">
        <v>1</v>
      </c>
      <c r="L335">
        <v>1</v>
      </c>
      <c r="M335">
        <v>1</v>
      </c>
      <c r="N335">
        <v>2</v>
      </c>
      <c r="O335">
        <v>5</v>
      </c>
      <c r="P335">
        <v>1</v>
      </c>
    </row>
    <row r="336" spans="1:16" x14ac:dyDescent="0.3">
      <c r="A336" s="7" t="s">
        <v>262</v>
      </c>
      <c r="B336" t="s">
        <v>264</v>
      </c>
      <c r="C336" t="s">
        <v>258</v>
      </c>
      <c r="D336" s="1">
        <v>45394</v>
      </c>
      <c r="E336" s="17">
        <v>0.25</v>
      </c>
      <c r="F336" s="17">
        <v>0.25694444444444398</v>
      </c>
      <c r="G336" t="s">
        <v>315</v>
      </c>
      <c r="H336" t="s">
        <v>96</v>
      </c>
      <c r="I336" s="2" t="s">
        <v>99</v>
      </c>
      <c r="J336" s="2" t="s">
        <v>100</v>
      </c>
      <c r="K336">
        <v>1</v>
      </c>
      <c r="L336">
        <v>1</v>
      </c>
      <c r="M336">
        <v>1</v>
      </c>
      <c r="N336">
        <v>2</v>
      </c>
      <c r="O336">
        <v>5</v>
      </c>
      <c r="P336">
        <v>1</v>
      </c>
    </row>
    <row r="337" spans="1:16" x14ac:dyDescent="0.3">
      <c r="A337" s="7" t="s">
        <v>286</v>
      </c>
      <c r="B337" t="s">
        <v>285</v>
      </c>
      <c r="C337" t="s">
        <v>258</v>
      </c>
      <c r="D337" s="1">
        <v>45394</v>
      </c>
      <c r="E337" s="17">
        <v>0.25</v>
      </c>
      <c r="F337" s="17">
        <v>0.25694444444444398</v>
      </c>
      <c r="H337" s="4" t="s">
        <v>102</v>
      </c>
      <c r="I337" s="5" t="s">
        <v>103</v>
      </c>
      <c r="J337" s="5" t="s">
        <v>104</v>
      </c>
      <c r="K337">
        <v>1</v>
      </c>
      <c r="L337">
        <v>1</v>
      </c>
      <c r="M337">
        <v>1</v>
      </c>
      <c r="N337">
        <v>4</v>
      </c>
      <c r="O337">
        <v>5</v>
      </c>
      <c r="P337">
        <v>1</v>
      </c>
    </row>
    <row r="338" spans="1:16" x14ac:dyDescent="0.3">
      <c r="A338" s="7" t="s">
        <v>259</v>
      </c>
      <c r="B338" t="s">
        <v>266</v>
      </c>
      <c r="C338" t="s">
        <v>258</v>
      </c>
      <c r="D338" s="1">
        <v>45394</v>
      </c>
      <c r="E338" s="17">
        <v>0.25</v>
      </c>
      <c r="F338" s="17">
        <v>0.25694444444444398</v>
      </c>
      <c r="H338" s="4" t="s">
        <v>102</v>
      </c>
      <c r="I338" s="5" t="s">
        <v>103</v>
      </c>
      <c r="J338" s="5" t="s">
        <v>104</v>
      </c>
      <c r="K338">
        <v>1</v>
      </c>
      <c r="L338">
        <v>1</v>
      </c>
      <c r="M338">
        <v>1</v>
      </c>
      <c r="N338">
        <v>4</v>
      </c>
      <c r="O338">
        <v>5</v>
      </c>
      <c r="P338">
        <v>1</v>
      </c>
    </row>
    <row r="339" spans="1:16" x14ac:dyDescent="0.3">
      <c r="A339" s="7" t="s">
        <v>262</v>
      </c>
      <c r="B339" t="s">
        <v>264</v>
      </c>
      <c r="C339" t="s">
        <v>258</v>
      </c>
      <c r="D339" s="1">
        <v>45394</v>
      </c>
      <c r="E339" s="17">
        <v>0.25</v>
      </c>
      <c r="F339" s="17">
        <v>0.25694444444444398</v>
      </c>
      <c r="H339" s="4" t="s">
        <v>102</v>
      </c>
      <c r="I339" s="5" t="s">
        <v>103</v>
      </c>
      <c r="J339" s="5" t="s">
        <v>104</v>
      </c>
      <c r="K339">
        <v>1</v>
      </c>
      <c r="L339">
        <v>1</v>
      </c>
      <c r="M339">
        <v>1</v>
      </c>
      <c r="N339">
        <v>4</v>
      </c>
      <c r="O339">
        <v>5</v>
      </c>
      <c r="P339">
        <v>1</v>
      </c>
    </row>
    <row r="340" spans="1:16" x14ac:dyDescent="0.3">
      <c r="A340" s="7" t="s">
        <v>271</v>
      </c>
      <c r="B340" t="s">
        <v>272</v>
      </c>
      <c r="C340" t="s">
        <v>258</v>
      </c>
      <c r="D340" s="1">
        <v>45394</v>
      </c>
      <c r="E340" s="17">
        <v>0.25</v>
      </c>
      <c r="F340" s="17">
        <v>0.25694444444444398</v>
      </c>
      <c r="H340" s="4" t="s">
        <v>102</v>
      </c>
      <c r="I340" s="5" t="s">
        <v>103</v>
      </c>
      <c r="J340" s="5" t="s">
        <v>104</v>
      </c>
      <c r="K340">
        <v>1</v>
      </c>
      <c r="L340">
        <v>1</v>
      </c>
      <c r="M340">
        <v>1</v>
      </c>
      <c r="N340">
        <v>4</v>
      </c>
      <c r="O340">
        <v>5</v>
      </c>
      <c r="P340">
        <v>1</v>
      </c>
    </row>
    <row r="341" spans="1:16" x14ac:dyDescent="0.3">
      <c r="A341" s="7" t="s">
        <v>263</v>
      </c>
      <c r="B341" t="s">
        <v>268</v>
      </c>
      <c r="C341" t="s">
        <v>258</v>
      </c>
      <c r="D341" s="1">
        <v>45394</v>
      </c>
      <c r="E341" s="17">
        <v>0.25</v>
      </c>
      <c r="F341" s="17">
        <v>0.25694444444444398</v>
      </c>
      <c r="H341" s="4" t="s">
        <v>102</v>
      </c>
      <c r="I341" s="5" t="s">
        <v>103</v>
      </c>
      <c r="J341" s="5" t="s">
        <v>104</v>
      </c>
      <c r="K341">
        <v>1</v>
      </c>
      <c r="L341">
        <v>1</v>
      </c>
      <c r="M341">
        <v>1</v>
      </c>
      <c r="N341">
        <v>4</v>
      </c>
      <c r="O341">
        <v>5</v>
      </c>
      <c r="P341">
        <v>1</v>
      </c>
    </row>
    <row r="342" spans="1:16" x14ac:dyDescent="0.3">
      <c r="A342" s="7" t="s">
        <v>261</v>
      </c>
      <c r="B342" t="s">
        <v>265</v>
      </c>
      <c r="C342" t="s">
        <v>258</v>
      </c>
      <c r="D342" s="1">
        <v>45394</v>
      </c>
      <c r="E342" s="17">
        <v>0.25</v>
      </c>
      <c r="F342" s="17">
        <v>0.25694444444444398</v>
      </c>
      <c r="H342" s="4" t="s">
        <v>102</v>
      </c>
      <c r="I342" s="5" t="s">
        <v>103</v>
      </c>
      <c r="J342" s="5" t="s">
        <v>104</v>
      </c>
      <c r="K342">
        <v>1</v>
      </c>
      <c r="L342">
        <v>1</v>
      </c>
      <c r="M342">
        <v>1</v>
      </c>
      <c r="N342">
        <v>4</v>
      </c>
      <c r="O342">
        <v>5</v>
      </c>
      <c r="P342">
        <v>1</v>
      </c>
    </row>
    <row r="343" spans="1:16" x14ac:dyDescent="0.3">
      <c r="A343" s="7" t="s">
        <v>286</v>
      </c>
      <c r="B343" t="s">
        <v>285</v>
      </c>
      <c r="C343" t="s">
        <v>258</v>
      </c>
      <c r="D343" s="1">
        <v>45380</v>
      </c>
      <c r="E343" s="17">
        <v>0.25</v>
      </c>
      <c r="F343" s="17">
        <v>0.25694444444444398</v>
      </c>
      <c r="H343" t="s">
        <v>106</v>
      </c>
      <c r="I343" s="2" t="s">
        <v>107</v>
      </c>
      <c r="J343" s="2" t="s">
        <v>108</v>
      </c>
      <c r="K343">
        <v>1</v>
      </c>
      <c r="L343">
        <v>1</v>
      </c>
      <c r="M343">
        <v>1</v>
      </c>
      <c r="N343">
        <v>4</v>
      </c>
      <c r="O343">
        <v>1</v>
      </c>
      <c r="P343">
        <v>1</v>
      </c>
    </row>
    <row r="344" spans="1:16" x14ac:dyDescent="0.3">
      <c r="A344" s="7" t="s">
        <v>259</v>
      </c>
      <c r="B344" t="s">
        <v>266</v>
      </c>
      <c r="C344" t="s">
        <v>258</v>
      </c>
      <c r="D344" s="1">
        <v>45380</v>
      </c>
      <c r="E344" s="17">
        <v>0.25</v>
      </c>
      <c r="F344" s="17">
        <v>0.25694444444444398</v>
      </c>
      <c r="H344" t="s">
        <v>106</v>
      </c>
      <c r="I344" s="2" t="s">
        <v>107</v>
      </c>
      <c r="J344" s="2" t="s">
        <v>108</v>
      </c>
      <c r="K344">
        <v>1</v>
      </c>
      <c r="L344">
        <v>1</v>
      </c>
      <c r="M344">
        <v>1</v>
      </c>
      <c r="N344">
        <v>4</v>
      </c>
      <c r="O344">
        <v>1</v>
      </c>
      <c r="P344">
        <v>1</v>
      </c>
    </row>
    <row r="345" spans="1:16" x14ac:dyDescent="0.3">
      <c r="A345" s="7" t="s">
        <v>271</v>
      </c>
      <c r="B345" t="s">
        <v>272</v>
      </c>
      <c r="C345" t="s">
        <v>258</v>
      </c>
      <c r="D345" s="1">
        <v>45380</v>
      </c>
      <c r="E345" s="17">
        <v>0.25</v>
      </c>
      <c r="F345" s="17">
        <v>0.25694444444444398</v>
      </c>
      <c r="H345" t="s">
        <v>106</v>
      </c>
      <c r="I345" s="2" t="s">
        <v>107</v>
      </c>
      <c r="J345" s="2" t="s">
        <v>108</v>
      </c>
      <c r="K345">
        <v>1</v>
      </c>
      <c r="L345">
        <v>1</v>
      </c>
      <c r="M345">
        <v>1</v>
      </c>
      <c r="N345">
        <v>4</v>
      </c>
      <c r="O345">
        <v>1</v>
      </c>
      <c r="P345">
        <v>1</v>
      </c>
    </row>
    <row r="346" spans="1:16" x14ac:dyDescent="0.3">
      <c r="A346" s="7" t="s">
        <v>262</v>
      </c>
      <c r="B346" t="s">
        <v>264</v>
      </c>
      <c r="C346" t="s">
        <v>258</v>
      </c>
      <c r="D346" s="1">
        <v>45380</v>
      </c>
      <c r="E346" s="17">
        <v>0.25</v>
      </c>
      <c r="F346" s="17">
        <v>0.25694444444444398</v>
      </c>
      <c r="H346" t="s">
        <v>106</v>
      </c>
      <c r="I346" s="2" t="s">
        <v>107</v>
      </c>
      <c r="J346" s="2" t="s">
        <v>108</v>
      </c>
      <c r="K346">
        <v>1</v>
      </c>
      <c r="L346">
        <v>1</v>
      </c>
      <c r="M346">
        <v>1</v>
      </c>
      <c r="N346">
        <v>4</v>
      </c>
      <c r="O346">
        <v>1</v>
      </c>
      <c r="P346">
        <v>1</v>
      </c>
    </row>
    <row r="347" spans="1:16" x14ac:dyDescent="0.3">
      <c r="A347" s="7" t="s">
        <v>269</v>
      </c>
      <c r="B347" t="s">
        <v>267</v>
      </c>
      <c r="C347" t="s">
        <v>258</v>
      </c>
      <c r="D347" s="1">
        <v>45380</v>
      </c>
      <c r="E347" s="17">
        <v>0.25</v>
      </c>
      <c r="F347" s="17">
        <v>0.25694444444444398</v>
      </c>
      <c r="H347" t="s">
        <v>106</v>
      </c>
      <c r="I347" s="2" t="s">
        <v>107</v>
      </c>
      <c r="J347" s="2" t="s">
        <v>108</v>
      </c>
      <c r="K347">
        <v>1</v>
      </c>
      <c r="L347">
        <v>1</v>
      </c>
      <c r="M347">
        <v>1</v>
      </c>
      <c r="N347">
        <v>4</v>
      </c>
      <c r="O347">
        <v>1</v>
      </c>
      <c r="P347">
        <v>1</v>
      </c>
    </row>
    <row r="348" spans="1:16" x14ac:dyDescent="0.3">
      <c r="A348" s="7" t="s">
        <v>281</v>
      </c>
      <c r="B348" t="s">
        <v>280</v>
      </c>
      <c r="C348" t="s">
        <v>274</v>
      </c>
      <c r="D348" s="1">
        <v>45380</v>
      </c>
      <c r="E348" s="17">
        <v>0.25</v>
      </c>
      <c r="F348" s="17">
        <v>0.25694444444444398</v>
      </c>
      <c r="H348" t="s">
        <v>106</v>
      </c>
      <c r="I348" s="2" t="s">
        <v>107</v>
      </c>
      <c r="J348" s="2" t="s">
        <v>108</v>
      </c>
      <c r="K348">
        <v>1</v>
      </c>
      <c r="L348">
        <v>1</v>
      </c>
      <c r="M348">
        <v>1</v>
      </c>
      <c r="N348">
        <v>4</v>
      </c>
      <c r="O348">
        <v>1</v>
      </c>
      <c r="P348">
        <v>1</v>
      </c>
    </row>
    <row r="349" spans="1:16" x14ac:dyDescent="0.3">
      <c r="A349" s="7" t="s">
        <v>262</v>
      </c>
      <c r="B349" t="s">
        <v>264</v>
      </c>
      <c r="C349" t="s">
        <v>258</v>
      </c>
      <c r="D349" s="1">
        <v>45380</v>
      </c>
      <c r="E349" s="17">
        <v>0.25</v>
      </c>
      <c r="F349" s="17">
        <v>0.25694444444444398</v>
      </c>
      <c r="H349" s="4" t="s">
        <v>27</v>
      </c>
      <c r="I349" s="5" t="s">
        <v>25</v>
      </c>
      <c r="J349" s="5" t="s">
        <v>26</v>
      </c>
      <c r="K349">
        <v>1</v>
      </c>
      <c r="L349">
        <v>1</v>
      </c>
      <c r="M349">
        <v>1</v>
      </c>
      <c r="N349">
        <v>4</v>
      </c>
      <c r="O349">
        <v>1</v>
      </c>
      <c r="P349">
        <v>3</v>
      </c>
    </row>
    <row r="350" spans="1:16" x14ac:dyDescent="0.3">
      <c r="A350" s="7" t="s">
        <v>286</v>
      </c>
      <c r="B350" t="s">
        <v>285</v>
      </c>
      <c r="C350" t="s">
        <v>258</v>
      </c>
      <c r="D350" s="1">
        <v>45380</v>
      </c>
      <c r="E350" s="17">
        <v>0.25</v>
      </c>
      <c r="F350" s="17">
        <v>0.25694444444444398</v>
      </c>
      <c r="H350" s="4" t="s">
        <v>27</v>
      </c>
      <c r="I350" s="5" t="s">
        <v>25</v>
      </c>
      <c r="J350" s="5" t="s">
        <v>26</v>
      </c>
      <c r="K350">
        <v>1</v>
      </c>
      <c r="L350">
        <v>1</v>
      </c>
      <c r="M350">
        <v>1</v>
      </c>
      <c r="N350">
        <v>4</v>
      </c>
      <c r="O350">
        <v>1</v>
      </c>
      <c r="P350">
        <v>3</v>
      </c>
    </row>
    <row r="351" spans="1:16" x14ac:dyDescent="0.3">
      <c r="A351" s="7" t="s">
        <v>271</v>
      </c>
      <c r="B351" t="s">
        <v>272</v>
      </c>
      <c r="C351" t="s">
        <v>258</v>
      </c>
      <c r="D351" s="1">
        <v>45380</v>
      </c>
      <c r="E351" s="17">
        <v>0.25</v>
      </c>
      <c r="F351" s="17">
        <v>0.25694444444444398</v>
      </c>
      <c r="H351" s="4" t="s">
        <v>27</v>
      </c>
      <c r="I351" s="5" t="s">
        <v>25</v>
      </c>
      <c r="J351" s="5" t="s">
        <v>26</v>
      </c>
      <c r="K351">
        <v>1</v>
      </c>
      <c r="L351">
        <v>1</v>
      </c>
      <c r="M351">
        <v>1</v>
      </c>
      <c r="N351">
        <v>4</v>
      </c>
      <c r="O351">
        <v>1</v>
      </c>
      <c r="P351">
        <v>3</v>
      </c>
    </row>
    <row r="352" spans="1:16" x14ac:dyDescent="0.3">
      <c r="A352" s="7" t="s">
        <v>259</v>
      </c>
      <c r="B352" t="s">
        <v>266</v>
      </c>
      <c r="C352" t="s">
        <v>258</v>
      </c>
      <c r="D352" s="1">
        <v>45380</v>
      </c>
      <c r="E352" s="17">
        <v>0.25</v>
      </c>
      <c r="F352" s="17">
        <v>0.25694444444444398</v>
      </c>
      <c r="H352" s="4" t="s">
        <v>27</v>
      </c>
      <c r="I352" s="5" t="s">
        <v>25</v>
      </c>
      <c r="J352" s="5" t="s">
        <v>26</v>
      </c>
      <c r="K352">
        <v>1</v>
      </c>
      <c r="L352">
        <v>1</v>
      </c>
      <c r="M352">
        <v>1</v>
      </c>
      <c r="N352">
        <v>4</v>
      </c>
      <c r="O352">
        <v>1</v>
      </c>
      <c r="P352">
        <v>3</v>
      </c>
    </row>
    <row r="353" spans="1:16" x14ac:dyDescent="0.3">
      <c r="A353" s="7" t="s">
        <v>263</v>
      </c>
      <c r="B353" t="s">
        <v>268</v>
      </c>
      <c r="C353" t="s">
        <v>258</v>
      </c>
      <c r="D353" s="1">
        <v>45380</v>
      </c>
      <c r="E353" s="17">
        <v>0.25</v>
      </c>
      <c r="F353" s="17">
        <v>0.25694444444444398</v>
      </c>
      <c r="H353" s="4" t="s">
        <v>27</v>
      </c>
      <c r="I353" s="5" t="s">
        <v>25</v>
      </c>
      <c r="J353" s="5" t="s">
        <v>26</v>
      </c>
      <c r="K353">
        <v>1</v>
      </c>
      <c r="L353">
        <v>1</v>
      </c>
      <c r="M353">
        <v>1</v>
      </c>
      <c r="N353">
        <v>4</v>
      </c>
      <c r="O353">
        <v>1</v>
      </c>
      <c r="P353">
        <v>3</v>
      </c>
    </row>
    <row r="354" spans="1:16" x14ac:dyDescent="0.3">
      <c r="A354" s="7" t="s">
        <v>259</v>
      </c>
      <c r="B354" t="s">
        <v>266</v>
      </c>
      <c r="C354" t="s">
        <v>258</v>
      </c>
      <c r="D354" s="1">
        <v>45380</v>
      </c>
      <c r="E354" s="17">
        <v>0.25</v>
      </c>
      <c r="F354" s="17">
        <v>0.25694444444444398</v>
      </c>
      <c r="H354" t="s">
        <v>110</v>
      </c>
      <c r="I354" s="2" t="s">
        <v>112</v>
      </c>
      <c r="J354" s="2" t="s">
        <v>113</v>
      </c>
      <c r="K354">
        <v>1</v>
      </c>
      <c r="L354">
        <v>1</v>
      </c>
      <c r="M354">
        <v>1</v>
      </c>
      <c r="N354">
        <v>4</v>
      </c>
      <c r="O354">
        <v>1</v>
      </c>
      <c r="P354">
        <v>1</v>
      </c>
    </row>
    <row r="355" spans="1:16" x14ac:dyDescent="0.3">
      <c r="A355" s="7" t="s">
        <v>262</v>
      </c>
      <c r="B355" t="s">
        <v>264</v>
      </c>
      <c r="C355" t="s">
        <v>258</v>
      </c>
      <c r="D355" s="1">
        <v>45380</v>
      </c>
      <c r="E355" s="17">
        <v>0.25</v>
      </c>
      <c r="F355" s="17">
        <v>0.25694444444444398</v>
      </c>
      <c r="H355" t="s">
        <v>110</v>
      </c>
      <c r="I355" s="2" t="s">
        <v>112</v>
      </c>
      <c r="J355" s="2" t="s">
        <v>113</v>
      </c>
      <c r="K355">
        <v>1</v>
      </c>
      <c r="L355">
        <v>1</v>
      </c>
      <c r="M355">
        <v>1</v>
      </c>
      <c r="N355">
        <v>4</v>
      </c>
      <c r="O355">
        <v>1</v>
      </c>
      <c r="P355">
        <v>1</v>
      </c>
    </row>
    <row r="356" spans="1:16" x14ac:dyDescent="0.3">
      <c r="A356" s="7" t="s">
        <v>286</v>
      </c>
      <c r="B356" t="s">
        <v>285</v>
      </c>
      <c r="C356" t="s">
        <v>258</v>
      </c>
      <c r="D356" s="1">
        <v>45380</v>
      </c>
      <c r="E356" s="17">
        <v>0.25</v>
      </c>
      <c r="F356" s="17">
        <v>0.25694444444444398</v>
      </c>
      <c r="H356" t="s">
        <v>110</v>
      </c>
      <c r="I356" s="2" t="s">
        <v>112</v>
      </c>
      <c r="J356" s="2" t="s">
        <v>113</v>
      </c>
      <c r="K356">
        <v>1</v>
      </c>
      <c r="L356">
        <v>1</v>
      </c>
      <c r="M356">
        <v>1</v>
      </c>
      <c r="N356">
        <v>4</v>
      </c>
      <c r="O356">
        <v>1</v>
      </c>
      <c r="P356">
        <v>1</v>
      </c>
    </row>
    <row r="357" spans="1:16" x14ac:dyDescent="0.3">
      <c r="A357" s="7" t="s">
        <v>271</v>
      </c>
      <c r="B357" t="s">
        <v>272</v>
      </c>
      <c r="C357" t="s">
        <v>258</v>
      </c>
      <c r="D357" s="1">
        <v>45380</v>
      </c>
      <c r="E357" s="17">
        <v>0.25</v>
      </c>
      <c r="F357" s="17">
        <v>0.25694444444444398</v>
      </c>
      <c r="H357" t="s">
        <v>110</v>
      </c>
      <c r="I357" s="2" t="s">
        <v>112</v>
      </c>
      <c r="J357" s="2" t="s">
        <v>113</v>
      </c>
      <c r="K357">
        <v>1</v>
      </c>
      <c r="L357">
        <v>1</v>
      </c>
      <c r="M357">
        <v>1</v>
      </c>
      <c r="N357">
        <v>4</v>
      </c>
      <c r="O357">
        <v>1</v>
      </c>
      <c r="P357">
        <v>1</v>
      </c>
    </row>
    <row r="358" spans="1:16" x14ac:dyDescent="0.3">
      <c r="A358" s="7" t="s">
        <v>262</v>
      </c>
      <c r="B358" t="s">
        <v>264</v>
      </c>
      <c r="C358" s="19" t="s">
        <v>258</v>
      </c>
      <c r="D358" s="1">
        <v>45380</v>
      </c>
      <c r="E358" s="17">
        <v>0.25</v>
      </c>
      <c r="F358" s="17">
        <v>0.25694444444444398</v>
      </c>
      <c r="H358" s="4" t="s">
        <v>115</v>
      </c>
      <c r="I358" s="5" t="s">
        <v>117</v>
      </c>
      <c r="J358" s="5" t="s">
        <v>118</v>
      </c>
      <c r="K358">
        <v>1</v>
      </c>
      <c r="L358">
        <v>1</v>
      </c>
      <c r="M358">
        <v>1</v>
      </c>
      <c r="N358">
        <v>5</v>
      </c>
      <c r="O358">
        <v>1</v>
      </c>
      <c r="P358">
        <v>1</v>
      </c>
    </row>
    <row r="359" spans="1:16" x14ac:dyDescent="0.3">
      <c r="A359" s="7" t="s">
        <v>260</v>
      </c>
      <c r="B359" t="s">
        <v>257</v>
      </c>
      <c r="C359" t="s">
        <v>258</v>
      </c>
      <c r="D359" s="1">
        <v>45380</v>
      </c>
      <c r="E359" s="17">
        <v>0.25</v>
      </c>
      <c r="F359" s="17">
        <v>0.25694444444444398</v>
      </c>
      <c r="H359" s="4" t="s">
        <v>115</v>
      </c>
      <c r="I359" s="5" t="s">
        <v>117</v>
      </c>
      <c r="J359" s="5" t="s">
        <v>118</v>
      </c>
      <c r="K359">
        <v>1</v>
      </c>
      <c r="L359">
        <v>1</v>
      </c>
      <c r="M359">
        <v>1</v>
      </c>
      <c r="N359">
        <v>5</v>
      </c>
      <c r="O359">
        <v>1</v>
      </c>
      <c r="P359">
        <v>1</v>
      </c>
    </row>
    <row r="360" spans="1:16" x14ac:dyDescent="0.3">
      <c r="A360" s="7" t="s">
        <v>271</v>
      </c>
      <c r="B360" t="s">
        <v>272</v>
      </c>
      <c r="C360" t="s">
        <v>258</v>
      </c>
      <c r="D360" s="1">
        <v>45380</v>
      </c>
      <c r="E360" s="17">
        <v>0.25</v>
      </c>
      <c r="F360" s="17">
        <v>0.25694444444444398</v>
      </c>
      <c r="H360" s="4" t="s">
        <v>115</v>
      </c>
      <c r="I360" s="5" t="s">
        <v>117</v>
      </c>
      <c r="J360" s="5" t="s">
        <v>118</v>
      </c>
      <c r="K360">
        <v>1</v>
      </c>
      <c r="L360">
        <v>1</v>
      </c>
      <c r="M360">
        <v>1</v>
      </c>
      <c r="N360">
        <v>5</v>
      </c>
      <c r="O360">
        <v>1</v>
      </c>
      <c r="P360">
        <v>1</v>
      </c>
    </row>
    <row r="361" spans="1:16" x14ac:dyDescent="0.3">
      <c r="A361" s="7" t="s">
        <v>259</v>
      </c>
      <c r="B361" t="s">
        <v>266</v>
      </c>
      <c r="C361" t="s">
        <v>258</v>
      </c>
      <c r="D361" s="1">
        <v>45380</v>
      </c>
      <c r="E361" s="17">
        <v>0.25</v>
      </c>
      <c r="F361" s="17">
        <v>0.25694444444444398</v>
      </c>
      <c r="H361" s="4" t="s">
        <v>115</v>
      </c>
      <c r="I361" s="5" t="s">
        <v>117</v>
      </c>
      <c r="J361" s="5" t="s">
        <v>118</v>
      </c>
      <c r="K361">
        <v>1</v>
      </c>
      <c r="L361">
        <v>1</v>
      </c>
      <c r="M361">
        <v>1</v>
      </c>
      <c r="N361">
        <v>5</v>
      </c>
      <c r="O361">
        <v>1</v>
      </c>
      <c r="P361">
        <v>1</v>
      </c>
    </row>
    <row r="362" spans="1:16" x14ac:dyDescent="0.3">
      <c r="A362" s="7" t="s">
        <v>269</v>
      </c>
      <c r="B362" t="s">
        <v>267</v>
      </c>
      <c r="C362" t="s">
        <v>258</v>
      </c>
      <c r="D362" s="1">
        <v>45380</v>
      </c>
      <c r="E362" s="17">
        <v>0.25</v>
      </c>
      <c r="F362" s="17">
        <v>0.25694444444444398</v>
      </c>
      <c r="H362" s="4" t="s">
        <v>115</v>
      </c>
      <c r="I362" s="5" t="s">
        <v>117</v>
      </c>
      <c r="J362" s="5" t="s">
        <v>118</v>
      </c>
      <c r="K362">
        <v>1</v>
      </c>
      <c r="L362">
        <v>1</v>
      </c>
      <c r="M362">
        <v>1</v>
      </c>
      <c r="N362">
        <v>5</v>
      </c>
      <c r="O362">
        <v>1</v>
      </c>
      <c r="P362">
        <v>1</v>
      </c>
    </row>
    <row r="363" spans="1:16" x14ac:dyDescent="0.3">
      <c r="A363" s="7" t="s">
        <v>259</v>
      </c>
      <c r="B363" t="s">
        <v>266</v>
      </c>
      <c r="C363" t="s">
        <v>258</v>
      </c>
      <c r="D363" s="1">
        <v>45380</v>
      </c>
      <c r="E363" s="17">
        <v>0.25</v>
      </c>
      <c r="F363" s="17">
        <v>0.25694444444444398</v>
      </c>
      <c r="H363" t="s">
        <v>120</v>
      </c>
      <c r="I363" s="2" t="s">
        <v>122</v>
      </c>
      <c r="J363" s="2" t="s">
        <v>123</v>
      </c>
      <c r="K363">
        <v>1</v>
      </c>
      <c r="L363">
        <v>1</v>
      </c>
      <c r="M363">
        <v>1</v>
      </c>
      <c r="N363">
        <v>5</v>
      </c>
      <c r="O363">
        <v>1</v>
      </c>
      <c r="P363">
        <v>1</v>
      </c>
    </row>
    <row r="364" spans="1:16" x14ac:dyDescent="0.3">
      <c r="A364" s="7" t="s">
        <v>286</v>
      </c>
      <c r="B364" t="s">
        <v>285</v>
      </c>
      <c r="C364" t="s">
        <v>258</v>
      </c>
      <c r="D364" s="1">
        <v>45380</v>
      </c>
      <c r="E364" s="17">
        <v>0.25</v>
      </c>
      <c r="F364" s="17">
        <v>0.25694444444444398</v>
      </c>
      <c r="H364" t="s">
        <v>120</v>
      </c>
      <c r="I364" s="2" t="s">
        <v>122</v>
      </c>
      <c r="J364" s="2" t="s">
        <v>123</v>
      </c>
      <c r="K364">
        <v>1</v>
      </c>
      <c r="L364">
        <v>1</v>
      </c>
      <c r="M364">
        <v>1</v>
      </c>
      <c r="N364">
        <v>5</v>
      </c>
      <c r="O364">
        <v>1</v>
      </c>
      <c r="P364">
        <v>1</v>
      </c>
    </row>
    <row r="365" spans="1:16" x14ac:dyDescent="0.3">
      <c r="A365" s="7" t="s">
        <v>262</v>
      </c>
      <c r="B365" t="s">
        <v>264</v>
      </c>
      <c r="C365" t="s">
        <v>258</v>
      </c>
      <c r="D365" s="1">
        <v>45380</v>
      </c>
      <c r="E365" s="17">
        <v>0.25</v>
      </c>
      <c r="F365" s="17">
        <v>0.25694444444444398</v>
      </c>
      <c r="H365" t="s">
        <v>120</v>
      </c>
      <c r="I365" s="2" t="s">
        <v>122</v>
      </c>
      <c r="J365" s="2" t="s">
        <v>123</v>
      </c>
      <c r="K365">
        <v>1</v>
      </c>
      <c r="L365">
        <v>1</v>
      </c>
      <c r="M365">
        <v>1</v>
      </c>
      <c r="N365">
        <v>5</v>
      </c>
      <c r="O365">
        <v>1</v>
      </c>
      <c r="P365">
        <v>1</v>
      </c>
    </row>
    <row r="366" spans="1:16" x14ac:dyDescent="0.3">
      <c r="A366" s="7" t="s">
        <v>260</v>
      </c>
      <c r="B366" t="s">
        <v>257</v>
      </c>
      <c r="C366" t="s">
        <v>258</v>
      </c>
      <c r="D366" s="1">
        <v>45380</v>
      </c>
      <c r="E366" s="17">
        <v>0.25</v>
      </c>
      <c r="F366" s="17">
        <v>0.25694444444444398</v>
      </c>
      <c r="H366" t="s">
        <v>120</v>
      </c>
      <c r="I366" s="2" t="s">
        <v>122</v>
      </c>
      <c r="J366" s="2" t="s">
        <v>123</v>
      </c>
      <c r="K366">
        <v>1</v>
      </c>
      <c r="L366">
        <v>1</v>
      </c>
      <c r="M366">
        <v>1</v>
      </c>
      <c r="N366">
        <v>5</v>
      </c>
      <c r="O366">
        <v>1</v>
      </c>
      <c r="P366">
        <v>1</v>
      </c>
    </row>
    <row r="367" spans="1:16" x14ac:dyDescent="0.3">
      <c r="A367" s="7" t="s">
        <v>261</v>
      </c>
      <c r="B367" t="s">
        <v>265</v>
      </c>
      <c r="C367" t="s">
        <v>258</v>
      </c>
      <c r="D367" s="1">
        <v>45380</v>
      </c>
      <c r="E367" s="17">
        <v>0.25</v>
      </c>
      <c r="F367" s="17">
        <v>0.25694444444444398</v>
      </c>
      <c r="H367" t="s">
        <v>120</v>
      </c>
      <c r="I367" s="2" t="s">
        <v>122</v>
      </c>
      <c r="J367" s="2" t="s">
        <v>123</v>
      </c>
      <c r="K367">
        <v>1</v>
      </c>
      <c r="L367">
        <v>1</v>
      </c>
      <c r="M367">
        <v>1</v>
      </c>
      <c r="N367">
        <v>5</v>
      </c>
      <c r="O367">
        <v>1</v>
      </c>
      <c r="P367">
        <v>1</v>
      </c>
    </row>
    <row r="368" spans="1:16" x14ac:dyDescent="0.3">
      <c r="A368" s="7" t="s">
        <v>281</v>
      </c>
      <c r="B368" t="s">
        <v>280</v>
      </c>
      <c r="C368" t="s">
        <v>274</v>
      </c>
      <c r="D368" s="1">
        <v>45380</v>
      </c>
      <c r="E368" s="17">
        <v>0.25</v>
      </c>
      <c r="F368" s="17">
        <v>0.25694444444444398</v>
      </c>
      <c r="H368" t="s">
        <v>120</v>
      </c>
      <c r="I368" s="2" t="s">
        <v>122</v>
      </c>
      <c r="J368" s="2" t="s">
        <v>123</v>
      </c>
      <c r="K368">
        <v>1</v>
      </c>
      <c r="L368">
        <v>1</v>
      </c>
      <c r="M368">
        <v>1</v>
      </c>
      <c r="N368">
        <v>5</v>
      </c>
      <c r="O368">
        <v>1</v>
      </c>
      <c r="P368">
        <v>1</v>
      </c>
    </row>
    <row r="369" spans="1:16" x14ac:dyDescent="0.3">
      <c r="A369" s="7" t="s">
        <v>286</v>
      </c>
      <c r="B369" t="s">
        <v>285</v>
      </c>
      <c r="C369" t="s">
        <v>258</v>
      </c>
      <c r="D369" s="1">
        <v>45380</v>
      </c>
      <c r="E369" s="17">
        <v>0.25208333333333333</v>
      </c>
      <c r="F369" s="17">
        <v>0.2590277777777778</v>
      </c>
      <c r="H369" s="4" t="s">
        <v>125</v>
      </c>
      <c r="I369" s="5" t="s">
        <v>126</v>
      </c>
      <c r="J369" s="5" t="s">
        <v>127</v>
      </c>
      <c r="K369">
        <v>1</v>
      </c>
      <c r="L369">
        <v>1</v>
      </c>
      <c r="M369">
        <v>1</v>
      </c>
      <c r="N369">
        <v>5</v>
      </c>
      <c r="O369">
        <v>1</v>
      </c>
      <c r="P369">
        <v>1</v>
      </c>
    </row>
    <row r="370" spans="1:16" x14ac:dyDescent="0.3">
      <c r="A370" s="7" t="s">
        <v>316</v>
      </c>
      <c r="B370" t="s">
        <v>317</v>
      </c>
      <c r="C370" t="s">
        <v>274</v>
      </c>
      <c r="D370" s="1">
        <v>45380</v>
      </c>
      <c r="E370" s="17">
        <v>0.25208333333333333</v>
      </c>
      <c r="F370" s="17">
        <v>0.2590277777777778</v>
      </c>
      <c r="H370" s="4" t="s">
        <v>125</v>
      </c>
      <c r="I370" s="5" t="s">
        <v>126</v>
      </c>
      <c r="J370" s="5" t="s">
        <v>127</v>
      </c>
      <c r="K370">
        <v>1</v>
      </c>
      <c r="L370">
        <v>1</v>
      </c>
      <c r="M370">
        <v>1</v>
      </c>
      <c r="N370">
        <v>5</v>
      </c>
      <c r="O370">
        <v>1</v>
      </c>
      <c r="P370">
        <v>1</v>
      </c>
    </row>
    <row r="371" spans="1:16" x14ac:dyDescent="0.3">
      <c r="A371" s="7" t="s">
        <v>271</v>
      </c>
      <c r="B371" t="s">
        <v>272</v>
      </c>
      <c r="C371" t="s">
        <v>258</v>
      </c>
      <c r="D371" s="1">
        <v>45380</v>
      </c>
      <c r="E371" s="17">
        <v>0.25208333333333299</v>
      </c>
      <c r="F371" s="17">
        <v>0.25902777777777802</v>
      </c>
      <c r="H371" s="4" t="s">
        <v>125</v>
      </c>
      <c r="I371" s="5" t="s">
        <v>126</v>
      </c>
      <c r="J371" s="5" t="s">
        <v>127</v>
      </c>
      <c r="K371">
        <v>1</v>
      </c>
      <c r="L371">
        <v>1</v>
      </c>
      <c r="M371">
        <v>1</v>
      </c>
      <c r="N371">
        <v>5</v>
      </c>
      <c r="O371">
        <v>1</v>
      </c>
      <c r="P371">
        <v>1</v>
      </c>
    </row>
    <row r="372" spans="1:16" x14ac:dyDescent="0.3">
      <c r="A372" s="7" t="s">
        <v>259</v>
      </c>
      <c r="B372" t="s">
        <v>266</v>
      </c>
      <c r="C372" t="s">
        <v>258</v>
      </c>
      <c r="D372" s="1">
        <v>45380</v>
      </c>
      <c r="E372" s="17">
        <v>0.25208333333333299</v>
      </c>
      <c r="F372" s="17">
        <v>0.25902777777777802</v>
      </c>
      <c r="H372" s="4" t="s">
        <v>125</v>
      </c>
      <c r="I372" s="5" t="s">
        <v>126</v>
      </c>
      <c r="J372" s="5" t="s">
        <v>127</v>
      </c>
      <c r="K372">
        <v>1</v>
      </c>
      <c r="L372">
        <v>1</v>
      </c>
      <c r="M372">
        <v>1</v>
      </c>
      <c r="N372">
        <v>5</v>
      </c>
      <c r="O372">
        <v>1</v>
      </c>
      <c r="P372">
        <v>1</v>
      </c>
    </row>
    <row r="373" spans="1:16" x14ac:dyDescent="0.3">
      <c r="A373" s="7" t="s">
        <v>262</v>
      </c>
      <c r="B373" t="s">
        <v>264</v>
      </c>
      <c r="C373" t="s">
        <v>258</v>
      </c>
      <c r="D373" s="1">
        <v>45380</v>
      </c>
      <c r="E373" s="17">
        <v>0.25208333333333299</v>
      </c>
      <c r="F373" s="17">
        <v>0.25902777777777802</v>
      </c>
      <c r="H373" s="4" t="s">
        <v>125</v>
      </c>
      <c r="I373" s="5" t="s">
        <v>126</v>
      </c>
      <c r="J373" s="5" t="s">
        <v>127</v>
      </c>
      <c r="K373">
        <v>1</v>
      </c>
      <c r="L373">
        <v>1</v>
      </c>
      <c r="M373">
        <v>1</v>
      </c>
      <c r="N373">
        <v>5</v>
      </c>
      <c r="O373">
        <v>1</v>
      </c>
      <c r="P373">
        <v>1</v>
      </c>
    </row>
    <row r="374" spans="1:16" x14ac:dyDescent="0.3">
      <c r="A374" s="7" t="s">
        <v>263</v>
      </c>
      <c r="B374" t="s">
        <v>268</v>
      </c>
      <c r="C374" t="s">
        <v>258</v>
      </c>
      <c r="D374" s="1">
        <v>45380</v>
      </c>
      <c r="E374" s="17">
        <v>0.25208333333333299</v>
      </c>
      <c r="F374" s="17">
        <v>0.25902777777777802</v>
      </c>
      <c r="H374" s="4" t="s">
        <v>125</v>
      </c>
      <c r="I374" s="5" t="s">
        <v>126</v>
      </c>
      <c r="J374" s="5" t="s">
        <v>127</v>
      </c>
      <c r="K374">
        <v>1</v>
      </c>
      <c r="L374">
        <v>1</v>
      </c>
      <c r="M374">
        <v>1</v>
      </c>
      <c r="N374">
        <v>5</v>
      </c>
      <c r="O374">
        <v>1</v>
      </c>
      <c r="P374">
        <v>1</v>
      </c>
    </row>
    <row r="375" spans="1:16" x14ac:dyDescent="0.3">
      <c r="A375" s="7" t="s">
        <v>260</v>
      </c>
      <c r="B375" t="s">
        <v>257</v>
      </c>
      <c r="C375" t="s">
        <v>258</v>
      </c>
      <c r="D375" s="1">
        <v>45380</v>
      </c>
      <c r="E375" s="17">
        <v>0.25208333333333299</v>
      </c>
      <c r="F375" s="17">
        <v>0.25902777777777802</v>
      </c>
      <c r="H375" s="4" t="s">
        <v>125</v>
      </c>
      <c r="I375" s="5" t="s">
        <v>126</v>
      </c>
      <c r="J375" s="5" t="s">
        <v>127</v>
      </c>
      <c r="K375">
        <v>1</v>
      </c>
      <c r="L375">
        <v>1</v>
      </c>
      <c r="M375">
        <v>1</v>
      </c>
      <c r="N375">
        <v>5</v>
      </c>
      <c r="O375">
        <v>1</v>
      </c>
      <c r="P375">
        <v>1</v>
      </c>
    </row>
    <row r="376" spans="1:16" x14ac:dyDescent="0.3">
      <c r="A376" s="7" t="s">
        <v>261</v>
      </c>
      <c r="B376" t="s">
        <v>265</v>
      </c>
      <c r="C376" t="s">
        <v>258</v>
      </c>
      <c r="D376" s="1">
        <v>45380</v>
      </c>
      <c r="E376" s="17">
        <v>0.25208333333333299</v>
      </c>
      <c r="F376" s="17">
        <v>0.25902777777777802</v>
      </c>
      <c r="H376" s="4" t="s">
        <v>125</v>
      </c>
      <c r="I376" s="5" t="s">
        <v>126</v>
      </c>
      <c r="J376" s="5" t="s">
        <v>127</v>
      </c>
      <c r="K376">
        <v>1</v>
      </c>
      <c r="L376">
        <v>1</v>
      </c>
      <c r="M376">
        <v>1</v>
      </c>
      <c r="N376">
        <v>5</v>
      </c>
      <c r="O376">
        <v>1</v>
      </c>
      <c r="P376">
        <v>1</v>
      </c>
    </row>
    <row r="377" spans="1:16" x14ac:dyDescent="0.3">
      <c r="A377" s="7" t="s">
        <v>269</v>
      </c>
      <c r="B377" t="s">
        <v>267</v>
      </c>
      <c r="C377" t="s">
        <v>258</v>
      </c>
      <c r="D377" s="1">
        <v>45380</v>
      </c>
      <c r="E377" s="17">
        <v>0.25208333333333299</v>
      </c>
      <c r="F377" s="17">
        <v>0.25902777777777802</v>
      </c>
      <c r="H377" s="4" t="s">
        <v>125</v>
      </c>
      <c r="I377" s="5" t="s">
        <v>126</v>
      </c>
      <c r="J377" s="5" t="s">
        <v>127</v>
      </c>
      <c r="K377">
        <v>1</v>
      </c>
      <c r="L377">
        <v>1</v>
      </c>
      <c r="M377">
        <v>1</v>
      </c>
      <c r="N377">
        <v>5</v>
      </c>
      <c r="O377">
        <v>1</v>
      </c>
      <c r="P377">
        <v>1</v>
      </c>
    </row>
    <row r="378" spans="1:16" x14ac:dyDescent="0.3">
      <c r="A378" s="7" t="s">
        <v>281</v>
      </c>
      <c r="B378" t="s">
        <v>280</v>
      </c>
      <c r="C378" t="s">
        <v>274</v>
      </c>
      <c r="D378" s="1">
        <v>45380</v>
      </c>
      <c r="E378" s="17">
        <v>0.25208333333333299</v>
      </c>
      <c r="F378" s="17">
        <v>0.25902777777777802</v>
      </c>
      <c r="H378" s="4" t="s">
        <v>125</v>
      </c>
      <c r="I378" s="5" t="s">
        <v>126</v>
      </c>
      <c r="J378" s="5" t="s">
        <v>127</v>
      </c>
      <c r="K378">
        <v>1</v>
      </c>
      <c r="L378">
        <v>1</v>
      </c>
      <c r="M378">
        <v>1</v>
      </c>
      <c r="N378">
        <v>5</v>
      </c>
      <c r="O378">
        <v>1</v>
      </c>
      <c r="P378">
        <v>1</v>
      </c>
    </row>
    <row r="379" spans="1:16" x14ac:dyDescent="0.3">
      <c r="A379" s="7" t="s">
        <v>259</v>
      </c>
      <c r="B379" t="s">
        <v>266</v>
      </c>
      <c r="C379" t="s">
        <v>258</v>
      </c>
      <c r="D379" s="1">
        <v>45416</v>
      </c>
      <c r="E379" s="17">
        <v>0.25</v>
      </c>
      <c r="F379" s="17">
        <v>0.25694444444444442</v>
      </c>
      <c r="H379" t="s">
        <v>129</v>
      </c>
      <c r="I379" s="2" t="s">
        <v>130</v>
      </c>
      <c r="J379" s="2" t="s">
        <v>131</v>
      </c>
      <c r="K379">
        <v>1</v>
      </c>
      <c r="L379">
        <v>1</v>
      </c>
      <c r="M379">
        <v>1</v>
      </c>
      <c r="N379">
        <v>4</v>
      </c>
      <c r="O379">
        <v>1</v>
      </c>
      <c r="P379">
        <v>1</v>
      </c>
    </row>
    <row r="380" spans="1:16" x14ac:dyDescent="0.3">
      <c r="A380" s="7" t="s">
        <v>262</v>
      </c>
      <c r="B380" t="s">
        <v>264</v>
      </c>
      <c r="C380" t="s">
        <v>258</v>
      </c>
      <c r="D380" s="1">
        <v>45416</v>
      </c>
      <c r="E380" s="17">
        <v>0.25</v>
      </c>
      <c r="F380" s="17">
        <v>0.25694444444444442</v>
      </c>
      <c r="H380" t="s">
        <v>129</v>
      </c>
      <c r="I380" s="2" t="s">
        <v>130</v>
      </c>
      <c r="J380" s="2" t="s">
        <v>131</v>
      </c>
      <c r="K380">
        <v>1</v>
      </c>
      <c r="L380">
        <v>1</v>
      </c>
      <c r="M380">
        <v>1</v>
      </c>
      <c r="N380">
        <v>4</v>
      </c>
      <c r="O380">
        <v>1</v>
      </c>
      <c r="P380">
        <v>1</v>
      </c>
    </row>
    <row r="381" spans="1:16" x14ac:dyDescent="0.3">
      <c r="A381" s="7" t="s">
        <v>260</v>
      </c>
      <c r="B381" t="s">
        <v>257</v>
      </c>
      <c r="C381" t="s">
        <v>258</v>
      </c>
      <c r="D381" s="1">
        <v>45416</v>
      </c>
      <c r="E381" s="17">
        <v>0.25</v>
      </c>
      <c r="F381" s="17">
        <v>0.25694444444444442</v>
      </c>
      <c r="H381" t="s">
        <v>129</v>
      </c>
      <c r="I381" s="2" t="s">
        <v>130</v>
      </c>
      <c r="J381" s="2" t="s">
        <v>131</v>
      </c>
      <c r="K381">
        <v>1</v>
      </c>
      <c r="L381">
        <v>1</v>
      </c>
      <c r="M381">
        <v>1</v>
      </c>
      <c r="N381">
        <v>4</v>
      </c>
      <c r="O381">
        <v>1</v>
      </c>
      <c r="P381">
        <v>1</v>
      </c>
    </row>
    <row r="382" spans="1:16" x14ac:dyDescent="0.3">
      <c r="A382" s="7" t="s">
        <v>286</v>
      </c>
      <c r="B382" t="s">
        <v>285</v>
      </c>
      <c r="C382" t="s">
        <v>258</v>
      </c>
      <c r="D382" s="1">
        <v>45416</v>
      </c>
      <c r="E382" s="17">
        <v>0.25</v>
      </c>
      <c r="F382" s="17">
        <v>0.25694444444444442</v>
      </c>
      <c r="H382" t="s">
        <v>129</v>
      </c>
      <c r="I382" s="2" t="s">
        <v>130</v>
      </c>
      <c r="J382" s="2" t="s">
        <v>131</v>
      </c>
      <c r="K382">
        <v>1</v>
      </c>
      <c r="L382">
        <v>1</v>
      </c>
      <c r="M382">
        <v>1</v>
      </c>
      <c r="N382">
        <v>4</v>
      </c>
      <c r="O382">
        <v>1</v>
      </c>
      <c r="P382">
        <v>1</v>
      </c>
    </row>
    <row r="383" spans="1:16" x14ac:dyDescent="0.3">
      <c r="A383" s="7" t="s">
        <v>284</v>
      </c>
      <c r="B383" t="s">
        <v>283</v>
      </c>
      <c r="C383" t="s">
        <v>274</v>
      </c>
      <c r="D383" s="1">
        <v>45416</v>
      </c>
      <c r="E383" s="17">
        <v>0.25</v>
      </c>
      <c r="F383" s="17">
        <v>0.25694444444444442</v>
      </c>
      <c r="H383" t="s">
        <v>129</v>
      </c>
      <c r="I383" s="2" t="s">
        <v>130</v>
      </c>
      <c r="J383" s="2" t="s">
        <v>131</v>
      </c>
      <c r="K383">
        <v>1</v>
      </c>
      <c r="L383">
        <v>1</v>
      </c>
      <c r="M383">
        <v>1</v>
      </c>
      <c r="N383">
        <v>4</v>
      </c>
      <c r="O383">
        <v>1</v>
      </c>
      <c r="P383">
        <v>1</v>
      </c>
    </row>
    <row r="384" spans="1:16" x14ac:dyDescent="0.3">
      <c r="A384" s="7" t="s">
        <v>259</v>
      </c>
      <c r="B384" t="s">
        <v>266</v>
      </c>
      <c r="C384" t="s">
        <v>258</v>
      </c>
      <c r="D384" s="1">
        <v>45380</v>
      </c>
      <c r="E384" s="17">
        <v>0.25</v>
      </c>
      <c r="F384" s="17">
        <v>0.25694444444444442</v>
      </c>
      <c r="H384" s="4" t="s">
        <v>133</v>
      </c>
      <c r="I384" s="5" t="s">
        <v>135</v>
      </c>
      <c r="J384" s="5" t="s">
        <v>136</v>
      </c>
      <c r="K384">
        <v>1</v>
      </c>
      <c r="L384">
        <v>1</v>
      </c>
      <c r="M384">
        <v>1</v>
      </c>
      <c r="N384">
        <v>5</v>
      </c>
      <c r="O384">
        <v>1</v>
      </c>
      <c r="P384">
        <v>1</v>
      </c>
    </row>
    <row r="385" spans="1:16" x14ac:dyDescent="0.3">
      <c r="A385" s="7" t="s">
        <v>260</v>
      </c>
      <c r="B385" t="s">
        <v>257</v>
      </c>
      <c r="C385" t="s">
        <v>258</v>
      </c>
      <c r="D385" s="1">
        <v>45380</v>
      </c>
      <c r="E385" s="17">
        <v>0.25</v>
      </c>
      <c r="F385" s="17">
        <v>0.25694444444444442</v>
      </c>
      <c r="H385" s="4" t="s">
        <v>133</v>
      </c>
      <c r="I385" s="5" t="s">
        <v>135</v>
      </c>
      <c r="J385" s="5" t="s">
        <v>136</v>
      </c>
      <c r="K385">
        <v>1</v>
      </c>
      <c r="L385">
        <v>1</v>
      </c>
      <c r="M385">
        <v>1</v>
      </c>
      <c r="N385">
        <v>5</v>
      </c>
      <c r="O385">
        <v>1</v>
      </c>
      <c r="P385">
        <v>1</v>
      </c>
    </row>
    <row r="386" spans="1:16" x14ac:dyDescent="0.3">
      <c r="A386" s="7" t="s">
        <v>286</v>
      </c>
      <c r="B386" t="s">
        <v>285</v>
      </c>
      <c r="C386" t="s">
        <v>258</v>
      </c>
      <c r="D386" s="1">
        <v>45380</v>
      </c>
      <c r="E386" s="17">
        <v>0.25</v>
      </c>
      <c r="F386" s="17">
        <v>0.25694444444444442</v>
      </c>
      <c r="H386" s="4" t="s">
        <v>133</v>
      </c>
      <c r="I386" s="5" t="s">
        <v>135</v>
      </c>
      <c r="J386" s="5" t="s">
        <v>136</v>
      </c>
      <c r="K386">
        <v>1</v>
      </c>
      <c r="L386">
        <v>1</v>
      </c>
      <c r="M386">
        <v>1</v>
      </c>
      <c r="N386">
        <v>5</v>
      </c>
      <c r="O386">
        <v>1</v>
      </c>
      <c r="P386">
        <v>1</v>
      </c>
    </row>
    <row r="387" spans="1:16" x14ac:dyDescent="0.3">
      <c r="A387" s="7" t="s">
        <v>262</v>
      </c>
      <c r="B387" t="s">
        <v>264</v>
      </c>
      <c r="C387" t="s">
        <v>258</v>
      </c>
      <c r="D387" s="1">
        <v>45380</v>
      </c>
      <c r="E387" s="17">
        <v>0.25</v>
      </c>
      <c r="F387" s="17">
        <v>0.25694444444444442</v>
      </c>
      <c r="H387" s="4" t="s">
        <v>133</v>
      </c>
      <c r="I387" s="5" t="s">
        <v>135</v>
      </c>
      <c r="J387" s="5" t="s">
        <v>136</v>
      </c>
      <c r="K387">
        <v>1</v>
      </c>
      <c r="L387">
        <v>1</v>
      </c>
      <c r="M387">
        <v>1</v>
      </c>
      <c r="N387">
        <v>5</v>
      </c>
      <c r="O387">
        <v>1</v>
      </c>
      <c r="P387">
        <v>1</v>
      </c>
    </row>
    <row r="388" spans="1:16" x14ac:dyDescent="0.3">
      <c r="A388" s="7" t="s">
        <v>271</v>
      </c>
      <c r="B388" t="s">
        <v>272</v>
      </c>
      <c r="C388" t="s">
        <v>258</v>
      </c>
      <c r="D388" s="1">
        <v>45380</v>
      </c>
      <c r="E388" s="17">
        <v>0.25</v>
      </c>
      <c r="F388" s="17">
        <v>0.25694444444444442</v>
      </c>
      <c r="H388" s="4" t="s">
        <v>133</v>
      </c>
      <c r="I388" s="5" t="s">
        <v>135</v>
      </c>
      <c r="J388" s="5" t="s">
        <v>136</v>
      </c>
      <c r="K388">
        <v>1</v>
      </c>
      <c r="L388">
        <v>1</v>
      </c>
      <c r="M388">
        <v>1</v>
      </c>
      <c r="N388">
        <v>5</v>
      </c>
      <c r="O388">
        <v>1</v>
      </c>
      <c r="P388">
        <v>1</v>
      </c>
    </row>
    <row r="389" spans="1:16" x14ac:dyDescent="0.3">
      <c r="A389" s="7" t="s">
        <v>269</v>
      </c>
      <c r="B389" t="s">
        <v>267</v>
      </c>
      <c r="C389" t="s">
        <v>258</v>
      </c>
      <c r="D389" s="1">
        <v>45416</v>
      </c>
      <c r="E389" s="17">
        <v>0.25069444444444444</v>
      </c>
      <c r="F389" s="17">
        <v>0.25763888888888886</v>
      </c>
      <c r="H389" t="s">
        <v>139</v>
      </c>
      <c r="I389" s="2" t="s">
        <v>140</v>
      </c>
      <c r="J389" s="2" t="s">
        <v>141</v>
      </c>
      <c r="K389">
        <v>1</v>
      </c>
      <c r="L389">
        <v>1</v>
      </c>
      <c r="M389">
        <v>1</v>
      </c>
      <c r="N389">
        <v>5</v>
      </c>
      <c r="O389">
        <v>1</v>
      </c>
      <c r="P389">
        <v>1</v>
      </c>
    </row>
    <row r="390" spans="1:16" x14ac:dyDescent="0.3">
      <c r="A390" s="7" t="s">
        <v>262</v>
      </c>
      <c r="B390" t="s">
        <v>264</v>
      </c>
      <c r="C390" t="s">
        <v>258</v>
      </c>
      <c r="D390" s="1">
        <v>45416</v>
      </c>
      <c r="E390" s="17">
        <v>0.25069444444444444</v>
      </c>
      <c r="F390" s="17">
        <v>0.25763888888888886</v>
      </c>
      <c r="H390" t="s">
        <v>139</v>
      </c>
      <c r="I390" s="2" t="s">
        <v>140</v>
      </c>
      <c r="J390" s="2" t="s">
        <v>141</v>
      </c>
      <c r="K390">
        <v>1</v>
      </c>
      <c r="L390">
        <v>1</v>
      </c>
      <c r="M390">
        <v>1</v>
      </c>
      <c r="N390">
        <v>5</v>
      </c>
      <c r="O390">
        <v>1</v>
      </c>
      <c r="P390">
        <v>1</v>
      </c>
    </row>
    <row r="391" spans="1:16" x14ac:dyDescent="0.3">
      <c r="A391" s="7" t="s">
        <v>259</v>
      </c>
      <c r="B391" t="s">
        <v>266</v>
      </c>
      <c r="C391" t="s">
        <v>258</v>
      </c>
      <c r="D391" s="1">
        <v>45416</v>
      </c>
      <c r="E391" s="17">
        <v>0.250694444444444</v>
      </c>
      <c r="F391" s="17">
        <v>0.25763888888888897</v>
      </c>
      <c r="H391" t="s">
        <v>139</v>
      </c>
      <c r="I391" s="2" t="s">
        <v>140</v>
      </c>
      <c r="J391" s="2" t="s">
        <v>141</v>
      </c>
      <c r="K391">
        <v>1</v>
      </c>
      <c r="L391">
        <v>1</v>
      </c>
      <c r="M391">
        <v>1</v>
      </c>
      <c r="N391">
        <v>5</v>
      </c>
      <c r="O391">
        <v>1</v>
      </c>
      <c r="P391">
        <v>1</v>
      </c>
    </row>
    <row r="392" spans="1:16" x14ac:dyDescent="0.3">
      <c r="A392" s="7" t="s">
        <v>286</v>
      </c>
      <c r="B392" t="s">
        <v>285</v>
      </c>
      <c r="C392" t="s">
        <v>258</v>
      </c>
      <c r="D392" s="1">
        <v>45416</v>
      </c>
      <c r="E392" s="17">
        <v>0.250694444444444</v>
      </c>
      <c r="F392" s="17">
        <v>0.25763888888888897</v>
      </c>
      <c r="H392" t="s">
        <v>139</v>
      </c>
      <c r="I392" s="2" t="s">
        <v>140</v>
      </c>
      <c r="J392" s="2" t="s">
        <v>141</v>
      </c>
      <c r="K392">
        <v>1</v>
      </c>
      <c r="L392">
        <v>1</v>
      </c>
      <c r="M392">
        <v>1</v>
      </c>
      <c r="N392">
        <v>5</v>
      </c>
      <c r="O392">
        <v>1</v>
      </c>
      <c r="P392">
        <v>1</v>
      </c>
    </row>
    <row r="393" spans="1:16" x14ac:dyDescent="0.3">
      <c r="A393" s="7" t="s">
        <v>260</v>
      </c>
      <c r="B393" t="s">
        <v>257</v>
      </c>
      <c r="C393" t="s">
        <v>258</v>
      </c>
      <c r="D393" s="1">
        <v>45416</v>
      </c>
      <c r="E393" s="17">
        <v>0.250694444444444</v>
      </c>
      <c r="F393" s="17">
        <v>0.25763888888888897</v>
      </c>
      <c r="H393" t="s">
        <v>139</v>
      </c>
      <c r="I393" s="2" t="s">
        <v>140</v>
      </c>
      <c r="J393" s="2" t="s">
        <v>141</v>
      </c>
      <c r="K393">
        <v>1</v>
      </c>
      <c r="L393">
        <v>1</v>
      </c>
      <c r="M393">
        <v>1</v>
      </c>
      <c r="N393">
        <v>5</v>
      </c>
      <c r="O393">
        <v>1</v>
      </c>
      <c r="P393">
        <v>1</v>
      </c>
    </row>
    <row r="394" spans="1:16" x14ac:dyDescent="0.3">
      <c r="A394" s="7" t="s">
        <v>271</v>
      </c>
      <c r="B394" t="s">
        <v>272</v>
      </c>
      <c r="C394" t="s">
        <v>258</v>
      </c>
      <c r="D394" s="1">
        <v>45416</v>
      </c>
      <c r="E394" s="17">
        <v>0.250694444444444</v>
      </c>
      <c r="F394" s="17">
        <v>0.25763888888888897</v>
      </c>
      <c r="H394" t="s">
        <v>139</v>
      </c>
      <c r="I394" s="2" t="s">
        <v>140</v>
      </c>
      <c r="J394" s="2" t="s">
        <v>141</v>
      </c>
      <c r="K394">
        <v>1</v>
      </c>
      <c r="L394">
        <v>1</v>
      </c>
      <c r="M394">
        <v>1</v>
      </c>
      <c r="N394">
        <v>5</v>
      </c>
      <c r="O394">
        <v>1</v>
      </c>
      <c r="P394">
        <v>1</v>
      </c>
    </row>
    <row r="395" spans="1:16" x14ac:dyDescent="0.3">
      <c r="A395" s="7" t="s">
        <v>262</v>
      </c>
      <c r="B395" t="s">
        <v>264</v>
      </c>
      <c r="C395" t="s">
        <v>258</v>
      </c>
      <c r="D395" s="1">
        <v>45380</v>
      </c>
      <c r="E395" s="17">
        <v>0.25</v>
      </c>
      <c r="F395" s="17">
        <v>0.25694444444444442</v>
      </c>
      <c r="H395" s="4" t="s">
        <v>143</v>
      </c>
      <c r="I395" s="5" t="s">
        <v>145</v>
      </c>
      <c r="J395" s="5" t="s">
        <v>146</v>
      </c>
      <c r="K395">
        <v>1</v>
      </c>
      <c r="L395">
        <v>1</v>
      </c>
      <c r="M395">
        <v>1</v>
      </c>
      <c r="N395">
        <v>4</v>
      </c>
      <c r="O395">
        <v>1</v>
      </c>
      <c r="P395">
        <v>1</v>
      </c>
    </row>
    <row r="396" spans="1:16" x14ac:dyDescent="0.3">
      <c r="A396" s="7" t="s">
        <v>260</v>
      </c>
      <c r="B396" t="s">
        <v>257</v>
      </c>
      <c r="C396" t="s">
        <v>258</v>
      </c>
      <c r="D396" s="1">
        <v>45380</v>
      </c>
      <c r="E396" s="17">
        <v>0.25</v>
      </c>
      <c r="F396" s="17">
        <v>0.25694444444444442</v>
      </c>
      <c r="H396" s="4" t="s">
        <v>143</v>
      </c>
      <c r="I396" s="5" t="s">
        <v>145</v>
      </c>
      <c r="J396" s="5" t="s">
        <v>146</v>
      </c>
      <c r="K396">
        <v>1</v>
      </c>
      <c r="L396">
        <v>1</v>
      </c>
      <c r="M396">
        <v>1</v>
      </c>
      <c r="N396">
        <v>4</v>
      </c>
      <c r="O396">
        <v>1</v>
      </c>
      <c r="P396">
        <v>1</v>
      </c>
    </row>
    <row r="397" spans="1:16" x14ac:dyDescent="0.3">
      <c r="A397" s="7" t="s">
        <v>259</v>
      </c>
      <c r="B397" t="s">
        <v>266</v>
      </c>
      <c r="C397" t="s">
        <v>258</v>
      </c>
      <c r="D397" s="1">
        <v>45380</v>
      </c>
      <c r="E397" s="17">
        <v>0.25</v>
      </c>
      <c r="F397" s="17">
        <v>0.25694444444444398</v>
      </c>
      <c r="H397" s="4" t="s">
        <v>143</v>
      </c>
      <c r="I397" s="5" t="s">
        <v>145</v>
      </c>
      <c r="J397" s="5" t="s">
        <v>146</v>
      </c>
      <c r="K397">
        <v>1</v>
      </c>
      <c r="L397">
        <v>1</v>
      </c>
      <c r="M397">
        <v>1</v>
      </c>
      <c r="N397">
        <v>4</v>
      </c>
      <c r="O397">
        <v>1</v>
      </c>
      <c r="P397">
        <v>1</v>
      </c>
    </row>
    <row r="398" spans="1:16" x14ac:dyDescent="0.3">
      <c r="A398" s="7" t="s">
        <v>261</v>
      </c>
      <c r="B398" t="s">
        <v>265</v>
      </c>
      <c r="C398" t="s">
        <v>258</v>
      </c>
      <c r="D398" s="1">
        <v>45380</v>
      </c>
      <c r="E398" s="17">
        <v>0.25</v>
      </c>
      <c r="F398" s="17">
        <v>0.25694444444444398</v>
      </c>
      <c r="H398" s="4" t="s">
        <v>143</v>
      </c>
      <c r="I398" s="5" t="s">
        <v>145</v>
      </c>
      <c r="J398" s="5" t="s">
        <v>146</v>
      </c>
      <c r="K398">
        <v>1</v>
      </c>
      <c r="L398">
        <v>1</v>
      </c>
      <c r="M398">
        <v>1</v>
      </c>
      <c r="N398">
        <v>4</v>
      </c>
      <c r="O398">
        <v>1</v>
      </c>
      <c r="P398">
        <v>1</v>
      </c>
    </row>
    <row r="399" spans="1:16" x14ac:dyDescent="0.3">
      <c r="A399" s="7" t="s">
        <v>271</v>
      </c>
      <c r="B399" t="s">
        <v>272</v>
      </c>
      <c r="C399" t="s">
        <v>258</v>
      </c>
      <c r="D399" s="1">
        <v>45380</v>
      </c>
      <c r="E399" s="17">
        <v>0.25</v>
      </c>
      <c r="F399" s="17">
        <v>0.25694444444444398</v>
      </c>
      <c r="H399" s="4" t="s">
        <v>143</v>
      </c>
      <c r="I399" s="5" t="s">
        <v>145</v>
      </c>
      <c r="J399" s="5" t="s">
        <v>146</v>
      </c>
      <c r="K399">
        <v>1</v>
      </c>
      <c r="L399">
        <v>1</v>
      </c>
      <c r="M399">
        <v>1</v>
      </c>
      <c r="N399">
        <v>4</v>
      </c>
      <c r="O399">
        <v>1</v>
      </c>
      <c r="P399">
        <v>1</v>
      </c>
    </row>
    <row r="400" spans="1:16" x14ac:dyDescent="0.3">
      <c r="A400" s="7" t="s">
        <v>269</v>
      </c>
      <c r="B400" t="s">
        <v>267</v>
      </c>
      <c r="C400" t="s">
        <v>258</v>
      </c>
      <c r="D400" s="1">
        <v>45380</v>
      </c>
      <c r="E400" s="17">
        <v>0.25</v>
      </c>
      <c r="F400" s="17">
        <v>0.25694444444444398</v>
      </c>
      <c r="H400" s="4" t="s">
        <v>143</v>
      </c>
      <c r="I400" s="5" t="s">
        <v>145</v>
      </c>
      <c r="J400" s="5" t="s">
        <v>146</v>
      </c>
      <c r="K400">
        <v>1</v>
      </c>
      <c r="L400">
        <v>1</v>
      </c>
      <c r="M400">
        <v>1</v>
      </c>
      <c r="N400">
        <v>4</v>
      </c>
      <c r="O400">
        <v>1</v>
      </c>
      <c r="P400">
        <v>1</v>
      </c>
    </row>
    <row r="401" spans="1:16" x14ac:dyDescent="0.3">
      <c r="A401" s="7" t="s">
        <v>259</v>
      </c>
      <c r="B401" t="s">
        <v>266</v>
      </c>
      <c r="C401" t="s">
        <v>258</v>
      </c>
      <c r="D401" s="1">
        <v>45380</v>
      </c>
      <c r="E401" s="17">
        <v>0.25</v>
      </c>
      <c r="F401" s="17">
        <v>0.25694444444444398</v>
      </c>
      <c r="H401" t="s">
        <v>148</v>
      </c>
      <c r="I401" s="2" t="s">
        <v>149</v>
      </c>
      <c r="J401" s="2" t="s">
        <v>150</v>
      </c>
      <c r="K401">
        <v>2</v>
      </c>
      <c r="L401">
        <v>1</v>
      </c>
      <c r="M401">
        <v>1</v>
      </c>
      <c r="N401">
        <v>5</v>
      </c>
      <c r="O401">
        <v>1</v>
      </c>
      <c r="P401">
        <v>1</v>
      </c>
    </row>
    <row r="402" spans="1:16" x14ac:dyDescent="0.3">
      <c r="A402" s="7" t="s">
        <v>260</v>
      </c>
      <c r="B402" t="s">
        <v>257</v>
      </c>
      <c r="C402" t="s">
        <v>258</v>
      </c>
      <c r="D402" s="1">
        <v>45380</v>
      </c>
      <c r="E402" s="17">
        <v>0.25</v>
      </c>
      <c r="F402" s="17">
        <v>0.25694444444444398</v>
      </c>
      <c r="H402" t="s">
        <v>148</v>
      </c>
      <c r="I402" s="2" t="s">
        <v>149</v>
      </c>
      <c r="J402" s="2" t="s">
        <v>150</v>
      </c>
      <c r="K402">
        <v>2</v>
      </c>
      <c r="L402">
        <v>1</v>
      </c>
      <c r="M402">
        <v>1</v>
      </c>
      <c r="N402">
        <v>5</v>
      </c>
      <c r="O402">
        <v>1</v>
      </c>
      <c r="P402">
        <v>1</v>
      </c>
    </row>
    <row r="403" spans="1:16" x14ac:dyDescent="0.3">
      <c r="A403" s="7" t="s">
        <v>262</v>
      </c>
      <c r="B403" t="s">
        <v>264</v>
      </c>
      <c r="C403" t="s">
        <v>258</v>
      </c>
      <c r="D403" s="1">
        <v>45380</v>
      </c>
      <c r="E403" s="17">
        <v>0.25</v>
      </c>
      <c r="F403" s="17">
        <v>0.25694444444444398</v>
      </c>
      <c r="H403" t="s">
        <v>148</v>
      </c>
      <c r="I403" s="2" t="s">
        <v>149</v>
      </c>
      <c r="J403" s="2" t="s">
        <v>150</v>
      </c>
      <c r="K403">
        <v>2</v>
      </c>
      <c r="L403">
        <v>1</v>
      </c>
      <c r="M403">
        <v>1</v>
      </c>
      <c r="N403">
        <v>5</v>
      </c>
      <c r="O403">
        <v>1</v>
      </c>
      <c r="P403">
        <v>1</v>
      </c>
    </row>
    <row r="404" spans="1:16" x14ac:dyDescent="0.3">
      <c r="A404" s="7" t="s">
        <v>286</v>
      </c>
      <c r="B404" t="s">
        <v>285</v>
      </c>
      <c r="C404" t="s">
        <v>258</v>
      </c>
      <c r="D404" s="1">
        <v>45380</v>
      </c>
      <c r="E404" s="17">
        <v>0.25</v>
      </c>
      <c r="F404" s="17">
        <v>0.25694444444444398</v>
      </c>
      <c r="H404" t="s">
        <v>148</v>
      </c>
      <c r="I404" s="2" t="s">
        <v>149</v>
      </c>
      <c r="J404" s="2" t="s">
        <v>150</v>
      </c>
      <c r="K404">
        <v>2</v>
      </c>
      <c r="L404">
        <v>1</v>
      </c>
      <c r="M404">
        <v>1</v>
      </c>
      <c r="N404">
        <v>5</v>
      </c>
      <c r="O404">
        <v>1</v>
      </c>
      <c r="P404">
        <v>1</v>
      </c>
    </row>
    <row r="405" spans="1:16" x14ac:dyDescent="0.3">
      <c r="A405" s="7" t="s">
        <v>305</v>
      </c>
      <c r="B405" t="s">
        <v>306</v>
      </c>
      <c r="C405" t="s">
        <v>258</v>
      </c>
      <c r="D405" s="1">
        <v>45380</v>
      </c>
      <c r="E405" s="17">
        <v>0.25</v>
      </c>
      <c r="F405" s="17">
        <v>0.25694444444444398</v>
      </c>
      <c r="H405" t="s">
        <v>148</v>
      </c>
      <c r="I405" s="2" t="s">
        <v>149</v>
      </c>
      <c r="J405" s="2" t="s">
        <v>150</v>
      </c>
      <c r="K405">
        <v>2</v>
      </c>
      <c r="L405">
        <v>1</v>
      </c>
      <c r="M405">
        <v>1</v>
      </c>
      <c r="N405">
        <v>5</v>
      </c>
      <c r="O405">
        <v>1</v>
      </c>
      <c r="P405">
        <v>1</v>
      </c>
    </row>
    <row r="406" spans="1:16" x14ac:dyDescent="0.3">
      <c r="A406" s="7" t="s">
        <v>271</v>
      </c>
      <c r="B406" t="s">
        <v>272</v>
      </c>
      <c r="C406" t="s">
        <v>258</v>
      </c>
      <c r="D406" s="1">
        <v>45380</v>
      </c>
      <c r="E406" s="17">
        <v>0.25</v>
      </c>
      <c r="F406" s="17">
        <v>0.25694444444444398</v>
      </c>
      <c r="H406" t="s">
        <v>148</v>
      </c>
      <c r="I406" s="2" t="s">
        <v>149</v>
      </c>
      <c r="J406" s="2" t="s">
        <v>150</v>
      </c>
      <c r="K406">
        <v>2</v>
      </c>
      <c r="L406">
        <v>1</v>
      </c>
      <c r="M406">
        <v>1</v>
      </c>
      <c r="N406">
        <v>5</v>
      </c>
      <c r="O406">
        <v>1</v>
      </c>
      <c r="P406">
        <v>1</v>
      </c>
    </row>
    <row r="407" spans="1:16" x14ac:dyDescent="0.3">
      <c r="A407" s="7" t="s">
        <v>261</v>
      </c>
      <c r="B407" t="s">
        <v>265</v>
      </c>
      <c r="C407" t="s">
        <v>258</v>
      </c>
      <c r="D407" s="1">
        <v>45380</v>
      </c>
      <c r="E407" s="17">
        <v>0.25</v>
      </c>
      <c r="F407" s="17">
        <v>0.25694444444444398</v>
      </c>
      <c r="H407" t="s">
        <v>148</v>
      </c>
      <c r="I407" s="2" t="s">
        <v>149</v>
      </c>
      <c r="J407" s="2" t="s">
        <v>150</v>
      </c>
      <c r="K407">
        <v>2</v>
      </c>
      <c r="L407">
        <v>1</v>
      </c>
      <c r="M407">
        <v>1</v>
      </c>
      <c r="N407">
        <v>5</v>
      </c>
      <c r="O407">
        <v>1</v>
      </c>
      <c r="P407">
        <v>1</v>
      </c>
    </row>
    <row r="408" spans="1:16" x14ac:dyDescent="0.3">
      <c r="A408" s="7" t="s">
        <v>260</v>
      </c>
      <c r="B408" t="s">
        <v>257</v>
      </c>
      <c r="C408" t="s">
        <v>258</v>
      </c>
      <c r="D408" s="1">
        <v>45416</v>
      </c>
      <c r="E408" s="17">
        <v>0.25277777777777777</v>
      </c>
      <c r="F408" s="17">
        <v>0.25972222222222224</v>
      </c>
      <c r="H408" s="4" t="s">
        <v>152</v>
      </c>
      <c r="I408" s="5" t="s">
        <v>153</v>
      </c>
      <c r="J408" s="5" t="s">
        <v>154</v>
      </c>
      <c r="K408">
        <v>1</v>
      </c>
      <c r="L408">
        <v>1</v>
      </c>
      <c r="M408">
        <v>1</v>
      </c>
      <c r="N408">
        <v>5</v>
      </c>
      <c r="O408">
        <v>1</v>
      </c>
      <c r="P408">
        <v>1</v>
      </c>
    </row>
    <row r="409" spans="1:16" x14ac:dyDescent="0.3">
      <c r="A409" s="7" t="s">
        <v>261</v>
      </c>
      <c r="B409" t="s">
        <v>265</v>
      </c>
      <c r="C409" t="s">
        <v>258</v>
      </c>
      <c r="D409" s="1">
        <v>45416</v>
      </c>
      <c r="E409" s="17">
        <v>0.25277777777777777</v>
      </c>
      <c r="F409" s="17">
        <v>0.25972222222222224</v>
      </c>
      <c r="H409" s="4" t="s">
        <v>152</v>
      </c>
      <c r="I409" s="5" t="s">
        <v>153</v>
      </c>
      <c r="J409" s="5" t="s">
        <v>154</v>
      </c>
      <c r="K409">
        <v>1</v>
      </c>
      <c r="L409">
        <v>1</v>
      </c>
      <c r="M409">
        <v>1</v>
      </c>
      <c r="N409">
        <v>5</v>
      </c>
      <c r="O409">
        <v>1</v>
      </c>
      <c r="P409">
        <v>1</v>
      </c>
    </row>
    <row r="410" spans="1:16" x14ac:dyDescent="0.3">
      <c r="A410" s="7" t="s">
        <v>262</v>
      </c>
      <c r="B410" t="s">
        <v>264</v>
      </c>
      <c r="C410" t="s">
        <v>258</v>
      </c>
      <c r="D410" s="1">
        <v>45416</v>
      </c>
      <c r="E410" s="17">
        <v>0.25277777777777799</v>
      </c>
      <c r="F410" s="17">
        <v>0.25972222222222202</v>
      </c>
      <c r="H410" s="4" t="s">
        <v>152</v>
      </c>
      <c r="I410" s="5" t="s">
        <v>153</v>
      </c>
      <c r="J410" s="5" t="s">
        <v>154</v>
      </c>
      <c r="K410">
        <v>1</v>
      </c>
      <c r="L410">
        <v>1</v>
      </c>
      <c r="M410">
        <v>1</v>
      </c>
      <c r="N410">
        <v>5</v>
      </c>
      <c r="O410">
        <v>1</v>
      </c>
      <c r="P410">
        <v>1</v>
      </c>
    </row>
    <row r="411" spans="1:16" x14ac:dyDescent="0.3">
      <c r="A411" s="7" t="s">
        <v>259</v>
      </c>
      <c r="B411" t="s">
        <v>266</v>
      </c>
      <c r="C411" t="s">
        <v>258</v>
      </c>
      <c r="D411" s="1">
        <v>45416</v>
      </c>
      <c r="E411" s="17">
        <v>0.25277777777777799</v>
      </c>
      <c r="F411" s="17">
        <v>0.25972222222222202</v>
      </c>
      <c r="H411" s="4" t="s">
        <v>152</v>
      </c>
      <c r="I411" s="5" t="s">
        <v>153</v>
      </c>
      <c r="J411" s="5" t="s">
        <v>154</v>
      </c>
      <c r="K411">
        <v>1</v>
      </c>
      <c r="L411">
        <v>1</v>
      </c>
      <c r="M411">
        <v>1</v>
      </c>
      <c r="N411">
        <v>5</v>
      </c>
      <c r="O411">
        <v>1</v>
      </c>
      <c r="P411">
        <v>1</v>
      </c>
    </row>
    <row r="412" spans="1:16" x14ac:dyDescent="0.3">
      <c r="A412" s="7" t="s">
        <v>271</v>
      </c>
      <c r="B412" t="s">
        <v>272</v>
      </c>
      <c r="C412" t="s">
        <v>258</v>
      </c>
      <c r="D412" s="1">
        <v>45416</v>
      </c>
      <c r="E412" s="17">
        <v>0.25277777777777799</v>
      </c>
      <c r="F412" s="17">
        <v>0.25972222222222202</v>
      </c>
      <c r="H412" s="4" t="s">
        <v>152</v>
      </c>
      <c r="I412" s="5" t="s">
        <v>153</v>
      </c>
      <c r="J412" s="5" t="s">
        <v>154</v>
      </c>
      <c r="K412">
        <v>1</v>
      </c>
      <c r="L412">
        <v>1</v>
      </c>
      <c r="M412">
        <v>1</v>
      </c>
      <c r="N412">
        <v>5</v>
      </c>
      <c r="O412">
        <v>1</v>
      </c>
      <c r="P412">
        <v>1</v>
      </c>
    </row>
    <row r="413" spans="1:16" x14ac:dyDescent="0.3">
      <c r="A413" s="7" t="s">
        <v>286</v>
      </c>
      <c r="B413" t="s">
        <v>285</v>
      </c>
      <c r="C413" t="s">
        <v>258</v>
      </c>
      <c r="D413" s="1">
        <v>45416</v>
      </c>
      <c r="E413" s="17">
        <v>0.25277777777777799</v>
      </c>
      <c r="F413" s="17">
        <v>0.25972222222222202</v>
      </c>
      <c r="H413" s="4" t="s">
        <v>152</v>
      </c>
      <c r="I413" s="5" t="s">
        <v>153</v>
      </c>
      <c r="J413" s="5" t="s">
        <v>154</v>
      </c>
      <c r="K413">
        <v>1</v>
      </c>
      <c r="L413">
        <v>1</v>
      </c>
      <c r="M413">
        <v>1</v>
      </c>
      <c r="N413">
        <v>5</v>
      </c>
      <c r="O413">
        <v>1</v>
      </c>
      <c r="P413">
        <v>1</v>
      </c>
    </row>
    <row r="414" spans="1:16" x14ac:dyDescent="0.3">
      <c r="A414" s="7" t="s">
        <v>259</v>
      </c>
      <c r="B414" t="s">
        <v>266</v>
      </c>
      <c r="D414" s="1">
        <v>45416</v>
      </c>
      <c r="E414" s="17">
        <v>0.24930555555555556</v>
      </c>
      <c r="F414" s="17">
        <v>0.25624999999999998</v>
      </c>
      <c r="H414" t="s">
        <v>28</v>
      </c>
      <c r="I414" s="2" t="s">
        <v>30</v>
      </c>
      <c r="J414" s="2" t="s">
        <v>31</v>
      </c>
      <c r="K414">
        <v>3</v>
      </c>
      <c r="L414">
        <v>1</v>
      </c>
      <c r="M414">
        <v>1</v>
      </c>
    </row>
    <row r="415" spans="1:16" x14ac:dyDescent="0.3">
      <c r="A415" s="7" t="s">
        <v>262</v>
      </c>
      <c r="B415" t="s">
        <v>264</v>
      </c>
    </row>
    <row r="416" spans="1:16" x14ac:dyDescent="0.3">
      <c r="A416" s="7" t="s">
        <v>261</v>
      </c>
      <c r="B416" t="s">
        <v>265</v>
      </c>
    </row>
    <row r="417" spans="1:2" x14ac:dyDescent="0.3">
      <c r="A417" s="7" t="s">
        <v>260</v>
      </c>
      <c r="B417" t="s">
        <v>257</v>
      </c>
    </row>
    <row r="418" spans="1:2" x14ac:dyDescent="0.3">
      <c r="A418" s="7" t="s">
        <v>286</v>
      </c>
      <c r="B418" t="s">
        <v>285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PO_1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Félix Romiguiere</dc:creator>
  <cp:lastModifiedBy>Felix Romiguiere</cp:lastModifiedBy>
  <dcterms:created xsi:type="dcterms:W3CDTF">2015-06-05T18:19:34Z</dcterms:created>
  <dcterms:modified xsi:type="dcterms:W3CDTF">2026-03-30T07:30:23Z</dcterms:modified>
</cp:coreProperties>
</file>
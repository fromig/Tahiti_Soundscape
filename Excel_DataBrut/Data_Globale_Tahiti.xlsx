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lix\Documents\Césure\Tahiti\Excel_DataBrut\"/>
    </mc:Choice>
  </mc:AlternateContent>
  <xr:revisionPtr revIDLastSave="0" documentId="13_ncr:1_{D6F04197-E578-45B8-BC28-21C97AED3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Description_Champ_Feuil1" sheetId="16" r:id="rId2"/>
    <sheet name="PO" sheetId="2" r:id="rId3"/>
    <sheet name="Feuil2" sheetId="3" r:id="rId4"/>
    <sheet name="Soleil" sheetId="14" r:id="rId5"/>
    <sheet name="Précipitation" sheetId="4" r:id="rId6"/>
    <sheet name="Température" sheetId="15" r:id="rId7"/>
  </sheets>
  <definedNames>
    <definedName name="_xlnm._FilterDatabase" localSheetId="3" hidden="1">Feuil2!$A$1:$D$332</definedName>
    <definedName name="_xlnm._FilterDatabase" localSheetId="2" hidden="1">PO!$A$1:$P$543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2" i="1" l="1"/>
  <c r="AM46" i="1"/>
  <c r="AM47" i="1"/>
  <c r="AM48" i="1"/>
  <c r="AM49" i="1"/>
  <c r="AM50" i="1"/>
  <c r="AM51" i="1"/>
  <c r="AM45" i="1"/>
  <c r="AM44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6" i="1"/>
  <c r="AM5" i="1"/>
  <c r="AM4" i="1"/>
  <c r="AM3" i="1"/>
  <c r="AM2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K3" i="1"/>
  <c r="AK43" i="1"/>
  <c r="AK52" i="1"/>
  <c r="AK51" i="1"/>
  <c r="AK50" i="1"/>
  <c r="AK49" i="1"/>
  <c r="AK48" i="1"/>
  <c r="AK47" i="1"/>
  <c r="AK46" i="1"/>
  <c r="AK45" i="1"/>
  <c r="AK44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4" i="1"/>
  <c r="AK5" i="1"/>
  <c r="AK6" i="1"/>
  <c r="AK2" i="1"/>
  <c r="AI3" i="1"/>
  <c r="AJ3" i="1"/>
  <c r="AJ43" i="1"/>
  <c r="K53" i="3"/>
  <c r="J53" i="3"/>
  <c r="S43" i="1"/>
  <c r="T43" i="1"/>
  <c r="V43" i="1"/>
  <c r="U43" i="1"/>
  <c r="F43" i="1"/>
  <c r="G43" i="1"/>
  <c r="V3" i="1"/>
  <c r="U3" i="1"/>
  <c r="T3" i="1"/>
  <c r="S3" i="1"/>
  <c r="K52" i="3"/>
  <c r="J52" i="3"/>
  <c r="AI43" i="1" s="1"/>
  <c r="AD3" i="1"/>
  <c r="AC3" i="1" s="1"/>
  <c r="F3" i="1"/>
  <c r="G3" i="1"/>
  <c r="H3" i="1"/>
  <c r="AC43" i="1"/>
  <c r="H43" i="1"/>
  <c r="V12" i="1" l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4" i="1"/>
  <c r="V45" i="1"/>
  <c r="V46" i="1"/>
  <c r="V47" i="1"/>
  <c r="V48" i="1"/>
  <c r="V49" i="1"/>
  <c r="V50" i="1"/>
  <c r="V51" i="1"/>
  <c r="V52" i="1"/>
  <c r="U52" i="1"/>
  <c r="U51" i="1"/>
  <c r="U50" i="1"/>
  <c r="U49" i="1"/>
  <c r="U48" i="1"/>
  <c r="U47" i="1"/>
  <c r="U46" i="1"/>
  <c r="U45" i="1"/>
  <c r="U44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2" i="1"/>
  <c r="U21" i="1"/>
  <c r="U23" i="1"/>
  <c r="U20" i="1"/>
  <c r="U19" i="1"/>
  <c r="U18" i="1"/>
  <c r="U17" i="1"/>
  <c r="U16" i="1"/>
  <c r="U15" i="1"/>
  <c r="U14" i="1"/>
  <c r="U13" i="1"/>
  <c r="U12" i="1"/>
  <c r="V5" i="1"/>
  <c r="V6" i="1"/>
  <c r="V7" i="1"/>
  <c r="V8" i="1"/>
  <c r="V9" i="1"/>
  <c r="V10" i="1"/>
  <c r="V11" i="1"/>
  <c r="U11" i="1"/>
  <c r="U10" i="1"/>
  <c r="U9" i="1"/>
  <c r="U8" i="1"/>
  <c r="U7" i="1"/>
  <c r="U6" i="1"/>
  <c r="U5" i="1"/>
  <c r="V4" i="1"/>
  <c r="U4" i="1"/>
  <c r="V2" i="1"/>
  <c r="U2" i="1"/>
  <c r="S2" i="1"/>
  <c r="T52" i="1"/>
  <c r="T51" i="1"/>
  <c r="T50" i="1"/>
  <c r="T49" i="1"/>
  <c r="T48" i="1"/>
  <c r="T47" i="1"/>
  <c r="T46" i="1"/>
  <c r="T45" i="1"/>
  <c r="T44" i="1"/>
  <c r="T42" i="1"/>
  <c r="T41" i="1"/>
  <c r="T40" i="1"/>
  <c r="T39" i="1"/>
  <c r="T37" i="1"/>
  <c r="T38" i="1"/>
  <c r="S37" i="1"/>
  <c r="S36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S19" i="1"/>
  <c r="T19" i="1"/>
  <c r="T18" i="1"/>
  <c r="T16" i="1"/>
  <c r="T17" i="1"/>
  <c r="T15" i="1"/>
  <c r="T14" i="1"/>
  <c r="T12" i="1"/>
  <c r="T13" i="1"/>
  <c r="T10" i="1"/>
  <c r="T11" i="1"/>
  <c r="T9" i="1"/>
  <c r="T8" i="1"/>
  <c r="T7" i="1"/>
  <c r="T6" i="1"/>
  <c r="T5" i="1"/>
  <c r="T4" i="1"/>
  <c r="T2" i="1"/>
  <c r="AD2" i="1"/>
  <c r="AC2" i="1" s="1"/>
  <c r="S52" i="1"/>
  <c r="S51" i="1"/>
  <c r="S50" i="1"/>
  <c r="S49" i="1"/>
  <c r="S48" i="1"/>
  <c r="S47" i="1"/>
  <c r="S46" i="1"/>
  <c r="S45" i="1"/>
  <c r="S44" i="1"/>
  <c r="S42" i="1"/>
  <c r="S41" i="1"/>
  <c r="S40" i="1"/>
  <c r="S39" i="1"/>
  <c r="S38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H52" i="1"/>
  <c r="H51" i="1"/>
  <c r="H50" i="1"/>
  <c r="H49" i="1"/>
  <c r="H48" i="1"/>
  <c r="H47" i="1"/>
  <c r="H46" i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G40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G52" i="1"/>
  <c r="G51" i="1"/>
  <c r="G50" i="1"/>
  <c r="G49" i="1"/>
  <c r="G48" i="1"/>
  <c r="G47" i="1"/>
  <c r="G46" i="1"/>
  <c r="G45" i="1"/>
  <c r="G44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5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F52" i="1"/>
  <c r="F51" i="1"/>
  <c r="F50" i="1"/>
  <c r="F49" i="1"/>
  <c r="F48" i="1"/>
  <c r="F47" i="1"/>
  <c r="F46" i="1"/>
  <c r="F45" i="1"/>
  <c r="F44" i="1"/>
  <c r="F42" i="1"/>
  <c r="F41" i="1"/>
  <c r="F39" i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5" i="1"/>
  <c r="F13" i="1"/>
  <c r="F14" i="1"/>
  <c r="F16" i="1"/>
  <c r="F12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2" i="1"/>
  <c r="G4" i="1"/>
  <c r="H2" i="1"/>
  <c r="F2" i="1"/>
  <c r="F4" i="1"/>
  <c r="AC8" i="1"/>
  <c r="AC9" i="1"/>
  <c r="AC10" i="1"/>
  <c r="AC11" i="1"/>
  <c r="AC13" i="1"/>
  <c r="AC14" i="1"/>
  <c r="AC15" i="1"/>
  <c r="AC16" i="1"/>
  <c r="AC17" i="1"/>
  <c r="AC18" i="1"/>
  <c r="AC20" i="1"/>
  <c r="AC21" i="1"/>
  <c r="AC22" i="1"/>
  <c r="AC23" i="1"/>
  <c r="AC24" i="1"/>
  <c r="AC27" i="1"/>
  <c r="AC29" i="1"/>
  <c r="AC31" i="1"/>
  <c r="AC32" i="1"/>
  <c r="AC33" i="1"/>
  <c r="AC34" i="1"/>
  <c r="AC41" i="1"/>
  <c r="AC42" i="1"/>
  <c r="AC45" i="1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AJ41" i="1" s="1"/>
  <c r="K40" i="3"/>
  <c r="J40" i="3"/>
  <c r="K39" i="3"/>
  <c r="J39" i="3"/>
  <c r="AJ39" i="1" s="1"/>
  <c r="K38" i="3"/>
  <c r="J38" i="3"/>
  <c r="K37" i="3"/>
  <c r="J37" i="3"/>
  <c r="K36" i="3"/>
  <c r="J36" i="3"/>
  <c r="K35" i="3"/>
  <c r="J35" i="3"/>
  <c r="K34" i="3"/>
  <c r="J34" i="3"/>
  <c r="K33" i="3"/>
  <c r="J33" i="3"/>
  <c r="AJ33" i="1" s="1"/>
  <c r="K31" i="3"/>
  <c r="K32" i="3"/>
  <c r="J32" i="3"/>
  <c r="J31" i="3"/>
  <c r="K30" i="3"/>
  <c r="J30" i="3"/>
  <c r="AJ30" i="1" s="1"/>
  <c r="K29" i="3"/>
  <c r="J29" i="3"/>
  <c r="K28" i="3"/>
  <c r="J28" i="3"/>
  <c r="K27" i="3"/>
  <c r="J27" i="3"/>
  <c r="K26" i="3"/>
  <c r="J26" i="3"/>
  <c r="K25" i="3"/>
  <c r="J25" i="3"/>
  <c r="AJ25" i="1" s="1"/>
  <c r="K24" i="3"/>
  <c r="J24" i="3"/>
  <c r="AJ24" i="1" s="1"/>
  <c r="K23" i="3"/>
  <c r="J23" i="3"/>
  <c r="AJ23" i="1" s="1"/>
  <c r="K22" i="3"/>
  <c r="J22" i="3"/>
  <c r="AJ22" i="1" s="1"/>
  <c r="K21" i="3"/>
  <c r="J21" i="3"/>
  <c r="K20" i="3"/>
  <c r="J20" i="3"/>
  <c r="K19" i="3"/>
  <c r="J19" i="3"/>
  <c r="K18" i="3"/>
  <c r="J18" i="3"/>
  <c r="AI18" i="1" s="1"/>
  <c r="K17" i="3"/>
  <c r="J17" i="3"/>
  <c r="AJ17" i="1" s="1"/>
  <c r="K16" i="3"/>
  <c r="J16" i="3"/>
  <c r="AJ16" i="1" s="1"/>
  <c r="K15" i="3"/>
  <c r="J15" i="3"/>
  <c r="AJ15" i="1" s="1"/>
  <c r="K14" i="3"/>
  <c r="J14" i="3"/>
  <c r="AJ14" i="1" s="1"/>
  <c r="K13" i="3"/>
  <c r="J13" i="3"/>
  <c r="K12" i="3"/>
  <c r="J12" i="3"/>
  <c r="K11" i="3"/>
  <c r="J11" i="3"/>
  <c r="AJ11" i="1" s="1"/>
  <c r="K10" i="3"/>
  <c r="J10" i="3"/>
  <c r="AJ10" i="1" s="1"/>
  <c r="J9" i="3"/>
  <c r="K9" i="3"/>
  <c r="K8" i="3"/>
  <c r="J8" i="3"/>
  <c r="AJ8" i="1" s="1"/>
  <c r="K6" i="3"/>
  <c r="K7" i="3"/>
  <c r="J7" i="3"/>
  <c r="J6" i="3"/>
  <c r="AJ6" i="1" s="1"/>
  <c r="K5" i="3"/>
  <c r="J5" i="3"/>
  <c r="K4" i="3"/>
  <c r="J4" i="3"/>
  <c r="K3" i="3"/>
  <c r="J3" i="3"/>
  <c r="AI2" i="1" s="1"/>
  <c r="AD47" i="1"/>
  <c r="AC47" i="1" s="1"/>
  <c r="AD48" i="1"/>
  <c r="AC48" i="1" s="1"/>
  <c r="AD49" i="1"/>
  <c r="AC49" i="1" s="1"/>
  <c r="AD51" i="1"/>
  <c r="AC51" i="1" s="1"/>
  <c r="AD52" i="1"/>
  <c r="AC52" i="1" s="1"/>
  <c r="AD44" i="1"/>
  <c r="AC44" i="1" s="1"/>
  <c r="AD40" i="1"/>
  <c r="AC40" i="1" s="1"/>
  <c r="AD39" i="1"/>
  <c r="AC39" i="1" s="1"/>
  <c r="AD38" i="1"/>
  <c r="AC38" i="1" s="1"/>
  <c r="AD37" i="1"/>
  <c r="AC37" i="1" s="1"/>
  <c r="AD36" i="1"/>
  <c r="AC36" i="1" s="1"/>
  <c r="AD35" i="1"/>
  <c r="AC35" i="1" s="1"/>
  <c r="AD30" i="1"/>
  <c r="AC30" i="1" s="1"/>
  <c r="AD26" i="1"/>
  <c r="AC26" i="1" s="1"/>
  <c r="AD25" i="1"/>
  <c r="AC25" i="1" s="1"/>
  <c r="AD19" i="1"/>
  <c r="AC19" i="1" s="1"/>
  <c r="AD12" i="1"/>
  <c r="AC12" i="1" s="1"/>
  <c r="AD6" i="1"/>
  <c r="AC6" i="1" s="1"/>
  <c r="AD5" i="1"/>
  <c r="AC5" i="1" s="1"/>
  <c r="AD50" i="1"/>
  <c r="AC50" i="1" s="1"/>
  <c r="AD46" i="1"/>
  <c r="AC46" i="1" s="1"/>
  <c r="AD28" i="1"/>
  <c r="AC28" i="1" s="1"/>
  <c r="AD7" i="1"/>
  <c r="AC7" i="1" s="1"/>
  <c r="AD4" i="1"/>
  <c r="AC4" i="1" s="1"/>
  <c r="AJ50" i="1" l="1"/>
  <c r="AJ12" i="1"/>
  <c r="AJ20" i="1"/>
  <c r="AJ28" i="1"/>
  <c r="AJ5" i="1"/>
  <c r="AJ37" i="1"/>
  <c r="AJ46" i="1"/>
  <c r="AJ4" i="1"/>
  <c r="AJ38" i="1"/>
  <c r="AJ31" i="1"/>
  <c r="AJ40" i="1"/>
  <c r="AJ2" i="1"/>
  <c r="AJ36" i="1"/>
  <c r="AJ49" i="1"/>
  <c r="AJ45" i="1"/>
  <c r="AJ26" i="1"/>
  <c r="AJ48" i="1"/>
  <c r="AJ13" i="1"/>
  <c r="AJ47" i="1"/>
  <c r="AI34" i="1"/>
  <c r="AJ42" i="1"/>
  <c r="AI51" i="1"/>
  <c r="AJ32" i="1"/>
  <c r="AJ9" i="1"/>
  <c r="AJ19" i="1"/>
  <c r="AJ27" i="1"/>
  <c r="AJ35" i="1"/>
  <c r="AJ44" i="1"/>
  <c r="AJ52" i="1"/>
  <c r="AJ7" i="1"/>
  <c r="AJ21" i="1"/>
  <c r="AJ29" i="1"/>
  <c r="AI50" i="1"/>
  <c r="AI33" i="1"/>
  <c r="AI17" i="1"/>
  <c r="AJ51" i="1"/>
  <c r="AJ34" i="1"/>
  <c r="AJ18" i="1"/>
  <c r="AI49" i="1"/>
  <c r="AI32" i="1"/>
  <c r="AI16" i="1"/>
  <c r="AI48" i="1"/>
  <c r="AI31" i="1"/>
  <c r="AI15" i="1"/>
  <c r="AI47" i="1"/>
  <c r="AI30" i="1"/>
  <c r="AI14" i="1"/>
  <c r="AI46" i="1"/>
  <c r="AI29" i="1"/>
  <c r="AI13" i="1"/>
  <c r="AI45" i="1"/>
  <c r="AI28" i="1"/>
  <c r="AI12" i="1"/>
  <c r="AI44" i="1"/>
  <c r="AI27" i="1"/>
  <c r="AI11" i="1"/>
  <c r="AI42" i="1"/>
  <c r="AI26" i="1"/>
  <c r="AI10" i="1"/>
  <c r="AI41" i="1"/>
  <c r="AI25" i="1"/>
  <c r="AI9" i="1"/>
  <c r="AI40" i="1"/>
  <c r="AI24" i="1"/>
  <c r="AI8" i="1"/>
  <c r="AI39" i="1"/>
  <c r="AI23" i="1"/>
  <c r="AI7" i="1"/>
  <c r="AI38" i="1"/>
  <c r="AI22" i="1"/>
  <c r="AI6" i="1"/>
  <c r="AI37" i="1"/>
  <c r="AI21" i="1"/>
  <c r="AI5" i="1"/>
  <c r="AI36" i="1"/>
  <c r="AI20" i="1"/>
  <c r="AI4" i="1"/>
  <c r="AI52" i="1"/>
  <c r="AI35" i="1"/>
  <c r="AI19" i="1"/>
</calcChain>
</file>

<file path=xl/sharedStrings.xml><?xml version="1.0" encoding="utf-8"?>
<sst xmlns="http://schemas.openxmlformats.org/spreadsheetml/2006/main" count="6697" uniqueCount="696">
  <si>
    <t>ILM_1</t>
  </si>
  <si>
    <t>-17.73177</t>
  </si>
  <si>
    <t>-149.57868</t>
  </si>
  <si>
    <t>Tahiti</t>
  </si>
  <si>
    <t>Société</t>
  </si>
  <si>
    <t>Île</t>
  </si>
  <si>
    <t>Archipel</t>
  </si>
  <si>
    <t>EAA</t>
  </si>
  <si>
    <t>Début</t>
  </si>
  <si>
    <t>Fin</t>
  </si>
  <si>
    <t>Latitude</t>
  </si>
  <si>
    <t>Longitude</t>
  </si>
  <si>
    <t>HSA(%)</t>
  </si>
  <si>
    <t>N/E</t>
  </si>
  <si>
    <t>Enr</t>
  </si>
  <si>
    <t>SMM02747</t>
  </si>
  <si>
    <t>Jardin_Eau_1</t>
  </si>
  <si>
    <t>SMM09285</t>
  </si>
  <si>
    <t>-17.76020</t>
  </si>
  <si>
    <t>-149.38919</t>
  </si>
  <si>
    <t>Marae_2</t>
  </si>
  <si>
    <t>SMM09307</t>
  </si>
  <si>
    <t>-17.69722</t>
  </si>
  <si>
    <t>-149.57881</t>
  </si>
  <si>
    <t>SMM9106</t>
  </si>
  <si>
    <t>-17.57137</t>
  </si>
  <si>
    <t>-149.52481</t>
  </si>
  <si>
    <t>OBelvedere_2</t>
  </si>
  <si>
    <t>Papeete_3</t>
  </si>
  <si>
    <t>SMM09233</t>
  </si>
  <si>
    <t>-17.53199</t>
  </si>
  <si>
    <t>-149.56194</t>
  </si>
  <si>
    <t>PI_Embouchure_3</t>
  </si>
  <si>
    <t>SMM02928</t>
  </si>
  <si>
    <t>-17.87360</t>
  </si>
  <si>
    <t>-149.18278</t>
  </si>
  <si>
    <t>PI_Belvedere_4</t>
  </si>
  <si>
    <t>SMM09080</t>
  </si>
  <si>
    <t>-17.77712</t>
  </si>
  <si>
    <t>-149.25440</t>
  </si>
  <si>
    <t>PI_Puunui_2</t>
  </si>
  <si>
    <t>-17.78095</t>
  </si>
  <si>
    <t>-149.27371</t>
  </si>
  <si>
    <t>Punavai_4</t>
  </si>
  <si>
    <t>SMM09009</t>
  </si>
  <si>
    <t>-17.62003</t>
  </si>
  <si>
    <t>-149.59700</t>
  </si>
  <si>
    <t>Punaauia_Tefautea</t>
  </si>
  <si>
    <t>SMM02755</t>
  </si>
  <si>
    <t>-17.60700</t>
  </si>
  <si>
    <t>Surface batie (m)</t>
  </si>
  <si>
    <t>Commune</t>
  </si>
  <si>
    <t>Fichier</t>
  </si>
  <si>
    <t>Ifremer_1</t>
  </si>
  <si>
    <t>-17.80597</t>
  </si>
  <si>
    <t>-149.29421</t>
  </si>
  <si>
    <t>Ifremer_1 SMM02747 - 2702_03032024 - Gaia -17.80597, -149.29421 - Carte SD 128 Go A15 extreme</t>
  </si>
  <si>
    <t>ILM_1 SMM09233  - 1204_170424 - Gaia -17.73177, -149.57868</t>
  </si>
  <si>
    <t>Jardin_Eau_1 SMM09285 - 2803_020424 - Gaia -17.76020, -149.38919 - Carte SD 32 Go noire (PB lecture carte)</t>
  </si>
  <si>
    <t>Marae_2 SMM09307  - 1004_130424 - Gaia -17.69722, -149.57881</t>
  </si>
  <si>
    <t>OBelvedere_2 SMM09106 - 2703_31032024 - Gaia -17.57137, -149.52481 - Carte SD 128 Go EI extreme pro (humide) (PB lecture carte)</t>
  </si>
  <si>
    <t>Papeete_3 SMM09233 - 0205_070524 - Gaia -17.53199, -149.56194</t>
  </si>
  <si>
    <t>PI_Embouchure_3 SMM02928 - 1502_20022024 - A0472 - Gaia -17.87360, -149.18278 - Carte SD 128 Go EI extreme pro</t>
  </si>
  <si>
    <t>PI_Belvedere_4 SMM09080 - 1902_24022024 - B0372 - GAIA -17.77712, -149.25440 - Carte SD 128 Go T5 extreme (mouillé)</t>
  </si>
  <si>
    <t>PI_Puunui_2 SMM02747 - 1902_24022024 - B0379 - GAIA -17.78095, -149.27371 - Carte SD A15 128Go</t>
  </si>
  <si>
    <t>Punaauia_Tefautea SMM02755 - 0205_080524 - Gaia -17.60700, -149.61230</t>
  </si>
  <si>
    <t>Punavai_4 SMM09009 - 1004_170424 - Gaia -17.62003, -149.59700</t>
  </si>
  <si>
    <t>ILM_2 SMM09080 - 1204_170424 - Gaia -17.73335, -149.57899</t>
  </si>
  <si>
    <t>ILM_2</t>
  </si>
  <si>
    <t>-17.73335</t>
  </si>
  <si>
    <t>-149.57899</t>
  </si>
  <si>
    <t>ILM_3 SMM09037 - 1204_170424 - Gaia -17.73234, -149.57782</t>
  </si>
  <si>
    <t>ILM_3</t>
  </si>
  <si>
    <t>-17.73234</t>
  </si>
  <si>
    <t>-149.57782</t>
  </si>
  <si>
    <t>Jardin_Eau_2 SMM02747 - 2803_02042024 - Gaia -17.75749, -149.39176 - Carte SD 32 Go J noire</t>
  </si>
  <si>
    <t>Jardin_Eau_2</t>
  </si>
  <si>
    <t>-17.75749</t>
  </si>
  <si>
    <t>-149.39176</t>
  </si>
  <si>
    <t>Jardin_Eau_3 SMM09009 - 2803_02042024 - Gaia -17.75383, -149.39297 - Carte SD 32 Go extreme</t>
  </si>
  <si>
    <t>Jardin_Eau_3</t>
  </si>
  <si>
    <t>-17.75383</t>
  </si>
  <si>
    <t>-149.39297</t>
  </si>
  <si>
    <t>Jardin_Eau_4 SMM09307 - 2803_02042024 - Gaia -17.74614, -149.39308 - Carte SD 64 Go E27 extreme</t>
  </si>
  <si>
    <t>Jardin_Eau_4</t>
  </si>
  <si>
    <t>-17.74614</t>
  </si>
  <si>
    <t>-149.39308</t>
  </si>
  <si>
    <t>Jardin_Eau_5 SMM09037 - 2803_02042024 - Gaia -17.74614, -149.39308 - Carte SD 32 Go  G samsung</t>
  </si>
  <si>
    <t>Jardin_Eau_5</t>
  </si>
  <si>
    <t>SMM09037</t>
  </si>
  <si>
    <t>Qualité,Commentaire</t>
  </si>
  <si>
    <t>Marae_1 SMM02755 - 1004_15042024 - Gaia -17.69697, -149.58110</t>
  </si>
  <si>
    <t>Marae_1</t>
  </si>
  <si>
    <t>-17.69697</t>
  </si>
  <si>
    <t>-149.58110</t>
  </si>
  <si>
    <t>Marae_3</t>
  </si>
  <si>
    <t>Marae_3 SMM09106 - 1004_160424 - Gaia -17.69643, -149.57515</t>
  </si>
  <si>
    <t>SMM09106</t>
  </si>
  <si>
    <t>-17.69643</t>
  </si>
  <si>
    <t>-149.57515</t>
  </si>
  <si>
    <t>Marae_4 SMM02747 - 1004_130424 - Gaia -17.69581, -149.57105</t>
  </si>
  <si>
    <t>Marae_4</t>
  </si>
  <si>
    <t>-17.69581</t>
  </si>
  <si>
    <t>-149.57105</t>
  </si>
  <si>
    <t>OBelvedere_1 SMM02928 - 2703_01042024 - Gaia -17.57431, -149.52287 - Carte SD 128 Go A15 extreme (mouillé)</t>
  </si>
  <si>
    <t>OBelvedere_1</t>
  </si>
  <si>
    <t>-17.57431</t>
  </si>
  <si>
    <t>-149.52287</t>
  </si>
  <si>
    <t>OBelvedere_3 SMM09228 - 2703_02042024 - Gaia -17.56843, -149.52697 - Carte SD 128 Go 44 extreme pro</t>
  </si>
  <si>
    <t>OBelvedere_3</t>
  </si>
  <si>
    <t xml:space="preserve">SMM09228 </t>
  </si>
  <si>
    <t>-17.56843</t>
  </si>
  <si>
    <t>-149.52697</t>
  </si>
  <si>
    <t>OBelvedere_4 SMM09234 - 2703_010424 - Gaia -17.56543, -149.52914 - Carte SD 128 Go 30 extreme pro (leger humide) (PB lecture carte)</t>
  </si>
  <si>
    <t>OBelvedere_4</t>
  </si>
  <si>
    <t>SMM09234</t>
  </si>
  <si>
    <t>-17.56543</t>
  </si>
  <si>
    <t>-149.52914</t>
  </si>
  <si>
    <t>OBelvedere_5 SMM09021 - 2703_01042024 - Gaia -17.56375, -149.53238 - Carte SD 128 Go T5 extreme</t>
  </si>
  <si>
    <t>OBelvedere_5</t>
  </si>
  <si>
    <t>SMM09021</t>
  </si>
  <si>
    <t>-17.56375</t>
  </si>
  <si>
    <t>-149.53238</t>
  </si>
  <si>
    <t>OBelvedere_6 SMM09080 - 2703_300324 - Gaia -17.55964, -149.53662 - Carte SD 64 Go E4 extreme</t>
  </si>
  <si>
    <t>OBelvedere_6</t>
  </si>
  <si>
    <t>-17.55964</t>
  </si>
  <si>
    <t>-149.53662</t>
  </si>
  <si>
    <t>OBelvedere_6.5 SMM09021 - 0205_060524 - Gaia -17.55615, -149.53839</t>
  </si>
  <si>
    <t>OBelvedere_6.5</t>
  </si>
  <si>
    <t>-17.55615</t>
  </si>
  <si>
    <t>-149.53839</t>
  </si>
  <si>
    <t>OBelvedere_7 SMM09337 - 2703_010424 - Gaia -17.55266, -149.53922 - Carte SD 64 Go A20 extreme</t>
  </si>
  <si>
    <t>OBelvedere_7</t>
  </si>
  <si>
    <t>SMM09337</t>
  </si>
  <si>
    <t>-17.55266</t>
  </si>
  <si>
    <t>-149.53822</t>
  </si>
  <si>
    <t>OBelvedere_7.5 SMM02553 -  0205_080524 - Gaia -17.54944, -149.54273 </t>
  </si>
  <si>
    <t>SMM02553</t>
  </si>
  <si>
    <t>OBelvedere_7.5</t>
  </si>
  <si>
    <t>-17.54944</t>
  </si>
  <si>
    <t>-149.54273</t>
  </si>
  <si>
    <t>OBelvedere_8</t>
  </si>
  <si>
    <t>SMM02752</t>
  </si>
  <si>
    <t>-17.54568</t>
  </si>
  <si>
    <t>-149.54451</t>
  </si>
  <si>
    <t>OBelvedere_9 SMM02553 - 2703_01042024 - Gaia -17.53843, -149.54800 - Carte SD 64 Go extreme pro</t>
  </si>
  <si>
    <t>OBelvedere_9</t>
  </si>
  <si>
    <t>-17.53843</t>
  </si>
  <si>
    <t>-149.54800</t>
  </si>
  <si>
    <t>Papeete_2 SMM09228 - 0205_070524 - Gaia -17.53502, -149.55922</t>
  </si>
  <si>
    <t>Papeete_2</t>
  </si>
  <si>
    <t>-17.53502</t>
  </si>
  <si>
    <t>-149.55922</t>
  </si>
  <si>
    <t>Papeete_4 SMM09037 - 0205_070524 - Gaia -17.53325, -149.56791</t>
  </si>
  <si>
    <t>Papeete_4</t>
  </si>
  <si>
    <t>-17.53325</t>
  </si>
  <si>
    <t>-149.56791</t>
  </si>
  <si>
    <t>Papeete_5 SMM09009 - 0205_050524 - Gaia -17.52491, -149.55676</t>
  </si>
  <si>
    <t>Papeete_5</t>
  </si>
  <si>
    <t>-17.52491</t>
  </si>
  <si>
    <t>-149.55676</t>
  </si>
  <si>
    <t>1/3 du cercle Flouté par la base navale</t>
  </si>
  <si>
    <t>PI_Belvedere_1 SMM02752 - 1902_24022024 - B0369 - Gaia -17.78532, -149.24700 - Carte SD 64 Go disk3s1 A6 extreme pro</t>
  </si>
  <si>
    <t>PI_Belvedere_1</t>
  </si>
  <si>
    <t>PI_Belvedere_2</t>
  </si>
  <si>
    <t>PI_Belvedere_3</t>
  </si>
  <si>
    <t>PI_Belvedere_5</t>
  </si>
  <si>
    <t>PI_Belvedere_6</t>
  </si>
  <si>
    <t>-17.78532</t>
  </si>
  <si>
    <t>-149.24700</t>
  </si>
  <si>
    <t>PI_Belvedere_2 SMM02553 - 1902_24022024 - B0368 - Gaia -17.78252, -149.24942 - Carte SD 32 Go 40 extreme</t>
  </si>
  <si>
    <t>PI_Belvedere_7</t>
  </si>
  <si>
    <t>-17.78252</t>
  </si>
  <si>
    <t>-149.24942</t>
  </si>
  <si>
    <t>PI_Belvedere_3 SMM02755 - 1902_24022024 - B0371 - Gaia -17.78001, -149.25222 - Carte SD 64 Go A20 extreme (un peu eau)</t>
  </si>
  <si>
    <t>-17.78001</t>
  </si>
  <si>
    <t>-149.25222</t>
  </si>
  <si>
    <t>PI_Belvedere_5 SMM09233 - 1902_24022024 - B0373 - Gaia -17.77749, -149.25852 - Carte SD 64 Go E4 extreme</t>
  </si>
  <si>
    <t>-17.77749</t>
  </si>
  <si>
    <t>-149.25852</t>
  </si>
  <si>
    <t>PI_Belvedere_6 SMM09337 -  1902_24022024 - B0374 - Gaia -17.77471, -149.26167 - Carte SD 64 Go E27 extreme</t>
  </si>
  <si>
    <t>-17.77471</t>
  </si>
  <si>
    <t>-149.26167</t>
  </si>
  <si>
    <t>PI_Belvedere_7 SMM09009 - 1902_24022024 - B0375 - Gaia -17.77101, -149.26569 - Carte SD 32 Go 38 extreme</t>
  </si>
  <si>
    <t>-17.77101</t>
  </si>
  <si>
    <t>-149.26569</t>
  </si>
  <si>
    <t>PI_Belvedere_8</t>
  </si>
  <si>
    <t>PI_Belvedere_9</t>
  </si>
  <si>
    <t>-17.76659</t>
  </si>
  <si>
    <t>-149.26981</t>
  </si>
  <si>
    <t>PI_Belvedere_8 SMM09021 - 1902_25022024 - B0376 - Gaia -17.76659, -149.26981 - Carte SD 32 Go 42 extreme</t>
  </si>
  <si>
    <t>PI_Belvedere_9 SMM09307 - 1902_25022024 - B0377 - Gaia -17.76375, -149.27422 - Carte SD 32 Go J noire</t>
  </si>
  <si>
    <t>-17.76375</t>
  </si>
  <si>
    <t>-149.27422</t>
  </si>
  <si>
    <t>PI_Embouchure_1 SMM09228 - 1502_20022024 - A0469 - Gaia -17.87781, -149.18525 - Carte SD 128 Go 30 extreme pro (mouille)</t>
  </si>
  <si>
    <t>PI_Embouchure_1</t>
  </si>
  <si>
    <t>-17.87781</t>
  </si>
  <si>
    <t>-149.18525</t>
  </si>
  <si>
    <t>PI_Embouchure_2 SMM09106 - 1502_20022024 - A0470 - Gaia -17.87648, -149.18449 - Carte SD 128 Go 44 extreme pro (peu mouille)</t>
  </si>
  <si>
    <t>PI_Embouchure_2</t>
  </si>
  <si>
    <t>-17.87648</t>
  </si>
  <si>
    <t>-149.18449</t>
  </si>
  <si>
    <t>PI_Puunui_1 SMM02940 - 1902_25022024 - B0378 - GAIA -17.77881, -149.27769 - Carte SD 32Go</t>
  </si>
  <si>
    <t>PI_Puunui_1</t>
  </si>
  <si>
    <t>SMM02940</t>
  </si>
  <si>
    <t>-17.77881</t>
  </si>
  <si>
    <t>-149.27769</t>
  </si>
  <si>
    <t>Punavai_1 SMM09337 - 1004_150424 - Gaia -17.62345, -149.61086</t>
  </si>
  <si>
    <t>Punavai_2 SMM02752 - 1004_110424 - Gaia -17.62143, -149.60544</t>
  </si>
  <si>
    <t>Punavai_3 SMM09234 - 1004_140424 - Gaia -17.62025, -149.60088 (mouille++)</t>
  </si>
  <si>
    <t>Punavai_5 SMM02940 - 1004_160424 - Gaia -17.61808, -149.59391 (mouille)</t>
  </si>
  <si>
    <t>Punavai_6 SMM09021 - 1004_160424 - Gaia -17.61771, -149.58950</t>
  </si>
  <si>
    <t>Punavai_1</t>
  </si>
  <si>
    <t>Punavai_2</t>
  </si>
  <si>
    <t>Punavai_3</t>
  </si>
  <si>
    <t>Punavai_5</t>
  </si>
  <si>
    <t>Punavai_6</t>
  </si>
  <si>
    <t>-17.62345</t>
  </si>
  <si>
    <t>-17.62025</t>
  </si>
  <si>
    <t>-17.61808</t>
  </si>
  <si>
    <t>-17.61771</t>
  </si>
  <si>
    <t>-149.61086</t>
  </si>
  <si>
    <t>-149.58950</t>
  </si>
  <si>
    <t>-17.62143</t>
  </si>
  <si>
    <t>-149.60544</t>
  </si>
  <si>
    <t>-149.60088</t>
  </si>
  <si>
    <t>-149.59391</t>
  </si>
  <si>
    <t>Pueu</t>
  </si>
  <si>
    <t>Vairao</t>
  </si>
  <si>
    <t>Teahupoo</t>
  </si>
  <si>
    <t>Mataiea</t>
  </si>
  <si>
    <t>Paea</t>
  </si>
  <si>
    <t>Punaauia</t>
  </si>
  <si>
    <t>Pirae</t>
  </si>
  <si>
    <t>Papeete</t>
  </si>
  <si>
    <t>NAME_SPECIES</t>
  </si>
  <si>
    <t>LATIN_SPECIES</t>
  </si>
  <si>
    <t>DATE</t>
  </si>
  <si>
    <t>TIME_START</t>
  </si>
  <si>
    <t>TIME_STOP</t>
  </si>
  <si>
    <t>DAILY_TEXT_COMMENT_REM</t>
  </si>
  <si>
    <t>COORD_LAT</t>
  </si>
  <si>
    <t>COORD_LON</t>
  </si>
  <si>
    <t>Nom espèce</t>
  </si>
  <si>
    <t>Nom scientifique</t>
  </si>
  <si>
    <t>ENR</t>
  </si>
  <si>
    <t>STATUS</t>
  </si>
  <si>
    <t>Status</t>
  </si>
  <si>
    <t>Geopelia striata</t>
  </si>
  <si>
    <t>Introduit</t>
  </si>
  <si>
    <t>Coq Banvika</t>
  </si>
  <si>
    <t>Geopélie zébrée</t>
  </si>
  <si>
    <t>Martin triste</t>
  </si>
  <si>
    <t>Bulbul à ventre rouge</t>
  </si>
  <si>
    <t>Pigeon biset</t>
  </si>
  <si>
    <t>Pycnonotus cafer</t>
  </si>
  <si>
    <t>Acridotheres tristis</t>
  </si>
  <si>
    <t>Gallus gallus</t>
  </si>
  <si>
    <t>Neochmia temporalis</t>
  </si>
  <si>
    <t>Columba livia</t>
  </si>
  <si>
    <t>Diamant à cinq couleur</t>
  </si>
  <si>
    <t>Enregistreur</t>
  </si>
  <si>
    <t>Capucin donacole</t>
  </si>
  <si>
    <t>Lonchura castaneothorax</t>
  </si>
  <si>
    <t>Natif</t>
  </si>
  <si>
    <t>Astrild ondulé</t>
  </si>
  <si>
    <t>Estrilda astrild</t>
  </si>
  <si>
    <t>No rain</t>
  </si>
  <si>
    <t>Criquet en bande passante lors des points écoute</t>
  </si>
  <si>
    <t>Ptilinopus purpuratus</t>
  </si>
  <si>
    <t>Ptilope de la Société</t>
  </si>
  <si>
    <t>Nice song 2 times</t>
  </si>
  <si>
    <t>Todiramphus veneratus</t>
  </si>
  <si>
    <t>Martin-Chasseur vénéré</t>
  </si>
  <si>
    <t>Zosterops lateralis</t>
  </si>
  <si>
    <t>Zosterops à dos gris</t>
  </si>
  <si>
    <t>Continuous througout the audio</t>
  </si>
  <si>
    <t>Really calm (nothing) for a 6am</t>
  </si>
  <si>
    <t>Strong backgroundnoise</t>
  </si>
  <si>
    <t>1 ou 5?</t>
  </si>
  <si>
    <t>54:30, bird on the mic until 56</t>
  </si>
  <si>
    <t>Begging of bulbul</t>
  </si>
  <si>
    <t>Traffic due to dog</t>
  </si>
  <si>
    <t>Geule fort dans le mic</t>
  </si>
  <si>
    <t>Lot of Zosterops</t>
  </si>
  <si>
    <t>Wave sound</t>
  </si>
  <si>
    <t>1-5?</t>
  </si>
  <si>
    <t>Nothing due to rain?</t>
  </si>
  <si>
    <t>Dog barking</t>
  </si>
  <si>
    <t>Tangara à dos rouge</t>
  </si>
  <si>
    <t>Ramphocelus dimidiatus</t>
  </si>
  <si>
    <t>TRAFFIC</t>
  </si>
  <si>
    <t>RAIN</t>
  </si>
  <si>
    <t>WIND</t>
  </si>
  <si>
    <t>ACTIVITY</t>
  </si>
  <si>
    <t>EXTEND_NOISE</t>
  </si>
  <si>
    <t>MIC_NOISE</t>
  </si>
  <si>
    <t>35.15 bruit chelou</t>
  </si>
  <si>
    <t>Still strong background noise</t>
  </si>
  <si>
    <t>Coucou de Nouvelle-Zélande</t>
  </si>
  <si>
    <t>Urodynamis taitensis</t>
  </si>
  <si>
    <t>Bug</t>
  </si>
  <si>
    <t>Bucheroonnage</t>
  </si>
  <si>
    <t>Un jour d'enregistrement</t>
  </si>
  <si>
    <t>Bruit de fond/micro perpetuel</t>
  </si>
  <si>
    <t>S</t>
  </si>
  <si>
    <t>INT</t>
  </si>
  <si>
    <t>NAT</t>
  </si>
  <si>
    <t>Habitat</t>
  </si>
  <si>
    <t>Urbain</t>
  </si>
  <si>
    <t>Forêt</t>
  </si>
  <si>
    <t>Suburbain</t>
  </si>
  <si>
    <t>Prairie</t>
  </si>
  <si>
    <t>Tahiti Iti</t>
  </si>
  <si>
    <t>Tahiti Nui</t>
  </si>
  <si>
    <t>Sous_île</t>
  </si>
  <si>
    <t>Lever_Soleil</t>
  </si>
  <si>
    <t>Coucher_Soleil</t>
  </si>
  <si>
    <t>Distance_Mer(m)</t>
  </si>
  <si>
    <t>Station</t>
  </si>
  <si>
    <t>Vairao_1</t>
  </si>
  <si>
    <t>Papara_8</t>
  </si>
  <si>
    <t>Paea_3</t>
  </si>
  <si>
    <t>Papeari_1</t>
  </si>
  <si>
    <t>Papeari_4</t>
  </si>
  <si>
    <t>Mataiea_4</t>
  </si>
  <si>
    <t>Pirae_1</t>
  </si>
  <si>
    <t>Afaahiti_2</t>
  </si>
  <si>
    <t>Afaahiti_4</t>
  </si>
  <si>
    <t>Teahupoo_1</t>
  </si>
  <si>
    <t>Teahupoo_2</t>
  </si>
  <si>
    <t>Punaauia_3</t>
  </si>
  <si>
    <t>rr1</t>
  </si>
  <si>
    <t>tx</t>
  </si>
  <si>
    <t>AFAAHITI 2</t>
  </si>
  <si>
    <t>PAPARA 8</t>
  </si>
  <si>
    <t>PAPEARI 1</t>
  </si>
  <si>
    <t>PAPEETE 2</t>
  </si>
  <si>
    <t>PIRAE 1</t>
  </si>
  <si>
    <t>TEAHUPOO</t>
  </si>
  <si>
    <t>VAIRAO 1</t>
  </si>
  <si>
    <t>Colonne1</t>
  </si>
  <si>
    <t>Station_Méteo</t>
  </si>
  <si>
    <t>ILM_Paea</t>
  </si>
  <si>
    <t>Puunui_Vairao</t>
  </si>
  <si>
    <t>Puna_Punaauia</t>
  </si>
  <si>
    <t>PUNAAUIA 6</t>
  </si>
  <si>
    <t>Orientation</t>
  </si>
  <si>
    <t>-17.6333308</t>
  </si>
  <si>
    <t>-149.4499982</t>
  </si>
  <si>
    <t>-17.808003</t>
  </si>
  <si>
    <t>-149.209419</t>
  </si>
  <si>
    <t>Azimut(°)</t>
  </si>
  <si>
    <t>ONO</t>
  </si>
  <si>
    <t>SSE</t>
  </si>
  <si>
    <t>NO</t>
  </si>
  <si>
    <t>O</t>
  </si>
  <si>
    <t>SO</t>
  </si>
  <si>
    <t>OSO</t>
  </si>
  <si>
    <t>Longueur_Jour</t>
  </si>
  <si>
    <t>Lever_Soleil2</t>
  </si>
  <si>
    <t>Coucher_Soleil3</t>
  </si>
  <si>
    <t>Longueur_Jour4</t>
  </si>
  <si>
    <t>Lever_Soleil5</t>
  </si>
  <si>
    <t>Coucher_Soleil6</t>
  </si>
  <si>
    <t>Longueur_Jour7</t>
  </si>
  <si>
    <t>Lever_Soleil8</t>
  </si>
  <si>
    <t>Coucher_Soleil9</t>
  </si>
  <si>
    <t>Longueur_Jour10</t>
  </si>
  <si>
    <t>Lever_Soleil11</t>
  </si>
  <si>
    <t>Coucher_Soleil12</t>
  </si>
  <si>
    <t>Longueur_Jour13</t>
  </si>
  <si>
    <t>Lever_Soleil14</t>
  </si>
  <si>
    <t>Coucher_Soleil15</t>
  </si>
  <si>
    <t>Longueur_Jour16</t>
  </si>
  <si>
    <t>Lever_Soleil17</t>
  </si>
  <si>
    <t>Coucher_Soleil18</t>
  </si>
  <si>
    <t>Longueur_Jour19</t>
  </si>
  <si>
    <t>Lever_Soleil20</t>
  </si>
  <si>
    <t>Coucher_Soleil21</t>
  </si>
  <si>
    <t>Longueur_Jour22</t>
  </si>
  <si>
    <t>Lever_Soleil23</t>
  </si>
  <si>
    <t>Coucher_Soleil24</t>
  </si>
  <si>
    <t>Longueur_Jour25</t>
  </si>
  <si>
    <t>Lever_Soleil26</t>
  </si>
  <si>
    <t>Coucher_Soleil27</t>
  </si>
  <si>
    <t>Longueur_Jour28</t>
  </si>
  <si>
    <t>Lever_Soleil29</t>
  </si>
  <si>
    <t>Coucher_Soleil30</t>
  </si>
  <si>
    <t>Longueur_Jour31</t>
  </si>
  <si>
    <t>Lever_Soleil32</t>
  </si>
  <si>
    <t>Coucher_Soleil33</t>
  </si>
  <si>
    <t>Longueur_Jour34</t>
  </si>
  <si>
    <t>Lever_Soleil35</t>
  </si>
  <si>
    <t>Coucher_Soleil36</t>
  </si>
  <si>
    <t>Longueur_Jour37</t>
  </si>
  <si>
    <t>Lever_Soleil38</t>
  </si>
  <si>
    <t>Coucher_Soleil39</t>
  </si>
  <si>
    <t>Longueur_Jour40</t>
  </si>
  <si>
    <t>Lever_Soleil41</t>
  </si>
  <si>
    <t>Coucher_Soleil42</t>
  </si>
  <si>
    <t>Longueur_Jour43</t>
  </si>
  <si>
    <t>Lever_Soleil44</t>
  </si>
  <si>
    <t>Coucher_Soleil45</t>
  </si>
  <si>
    <t>Longueur_Jour46</t>
  </si>
  <si>
    <t>Lever_Soleil47</t>
  </si>
  <si>
    <t>Coucher_Soleil48</t>
  </si>
  <si>
    <t>Longueur_Jour49</t>
  </si>
  <si>
    <t>Lever_Soleil50</t>
  </si>
  <si>
    <t>Coucher_Soleil51</t>
  </si>
  <si>
    <t>Longueur_Jour52</t>
  </si>
  <si>
    <t>Lever_Soleil53</t>
  </si>
  <si>
    <t>Coucher_Soleil54</t>
  </si>
  <si>
    <t>Longueur_Jour55</t>
  </si>
  <si>
    <t>Lever_Soleil56</t>
  </si>
  <si>
    <t>Coucher_Soleil57</t>
  </si>
  <si>
    <t>Longueur_Jour58</t>
  </si>
  <si>
    <t>Lever_Soleil59</t>
  </si>
  <si>
    <t>Coucher_Soleil60</t>
  </si>
  <si>
    <t>Longueur_Jour61</t>
  </si>
  <si>
    <t>Lever_Soleil62</t>
  </si>
  <si>
    <t>Coucher_Soleil63</t>
  </si>
  <si>
    <t>Longueur_Jour64</t>
  </si>
  <si>
    <t>Lever_Soleil65</t>
  </si>
  <si>
    <t>Coucher_Soleil66</t>
  </si>
  <si>
    <t>Longueur_Jour67</t>
  </si>
  <si>
    <t>Lever_Soleil68</t>
  </si>
  <si>
    <t>Coucher_Soleil69</t>
  </si>
  <si>
    <t>Longueur_Jour70</t>
  </si>
  <si>
    <t>Lever_Soleil71</t>
  </si>
  <si>
    <t>Coucher_Soleil72</t>
  </si>
  <si>
    <t>Longueur_Jour73</t>
  </si>
  <si>
    <t>Lever_Soleil74</t>
  </si>
  <si>
    <t>Coucher_Soleil75</t>
  </si>
  <si>
    <t>Longueur_Jour76</t>
  </si>
  <si>
    <t>Lever_Soleil77</t>
  </si>
  <si>
    <t>Coucher_Soleil78</t>
  </si>
  <si>
    <t>Longueur_Jour79</t>
  </si>
  <si>
    <t>Lever_Soleil80</t>
  </si>
  <si>
    <t>Coucher_Soleil81</t>
  </si>
  <si>
    <t>Longueur_Jour82</t>
  </si>
  <si>
    <t>Lever_Soleil83</t>
  </si>
  <si>
    <t>Coucher_Soleil84</t>
  </si>
  <si>
    <t>Longueur_Jour85</t>
  </si>
  <si>
    <t>Lever_Soleil86</t>
  </si>
  <si>
    <t>Coucher_Soleil87</t>
  </si>
  <si>
    <t>Longueur_Jour88</t>
  </si>
  <si>
    <t>Lever_Soleil89</t>
  </si>
  <si>
    <t>Coucher_Soleil90</t>
  </si>
  <si>
    <t>Longueur_Jour91</t>
  </si>
  <si>
    <t>Lever_Soleil92</t>
  </si>
  <si>
    <t>Coucher_Soleil93</t>
  </si>
  <si>
    <t>Longueur_Jour94</t>
  </si>
  <si>
    <t>Lever_Soleil95</t>
  </si>
  <si>
    <t>Coucher_Soleil96</t>
  </si>
  <si>
    <t>Longueur_Jour97</t>
  </si>
  <si>
    <t>Lever_Soleil98</t>
  </si>
  <si>
    <t>Coucher_Soleil99</t>
  </si>
  <si>
    <t>Longueur_Jour100</t>
  </si>
  <si>
    <t>Lever_Soleil101</t>
  </si>
  <si>
    <t>Coucher_Soleil102</t>
  </si>
  <si>
    <t>Longueur_Jour103</t>
  </si>
  <si>
    <t>Lever_Soleil104</t>
  </si>
  <si>
    <t>Coucher_Soleil105</t>
  </si>
  <si>
    <t>Longueur_Jour106</t>
  </si>
  <si>
    <t>Lever_Soleil107</t>
  </si>
  <si>
    <t>Coucher_Soleil108</t>
  </si>
  <si>
    <t>Longueur_Jour109</t>
  </si>
  <si>
    <t>Lever_Soleil110</t>
  </si>
  <si>
    <t>Coucher_Soleil111</t>
  </si>
  <si>
    <t>Longueur_Jour112</t>
  </si>
  <si>
    <t>Lever_Soleil113</t>
  </si>
  <si>
    <t>Coucher_Soleil114</t>
  </si>
  <si>
    <t>Longueur_Jour115</t>
  </si>
  <si>
    <t>Lever_Soleil116</t>
  </si>
  <si>
    <t>Coucher_Soleil117</t>
  </si>
  <si>
    <t>Longueur_Jour118</t>
  </si>
  <si>
    <t>Lever_Soleil119</t>
  </si>
  <si>
    <t>Coucher_Soleil120</t>
  </si>
  <si>
    <t>Longueur_Jour121</t>
  </si>
  <si>
    <t>Lever_Soleil122</t>
  </si>
  <si>
    <t>Coucher_Soleil123</t>
  </si>
  <si>
    <t>Longueur_Jour124</t>
  </si>
  <si>
    <t>Lever_Soleil125</t>
  </si>
  <si>
    <t>Coucher_Soleil126</t>
  </si>
  <si>
    <t>Longueur_Jour127</t>
  </si>
  <si>
    <t>Lever_Soleil128</t>
  </si>
  <si>
    <t>Coucher_Soleil129</t>
  </si>
  <si>
    <t>Longueur_Jour130</t>
  </si>
  <si>
    <t>Lever_Soleil131</t>
  </si>
  <si>
    <t>Coucher_Soleil132</t>
  </si>
  <si>
    <t>Longueur_Jour133</t>
  </si>
  <si>
    <t>Lever_Soleil134</t>
  </si>
  <si>
    <t>Coucher_Soleil135</t>
  </si>
  <si>
    <t>Longueur_Jour136</t>
  </si>
  <si>
    <t>Lever_Soleil137</t>
  </si>
  <si>
    <t>Coucher_Soleil138</t>
  </si>
  <si>
    <t>Longueur_Jour139</t>
  </si>
  <si>
    <t>Lever_Soleil140</t>
  </si>
  <si>
    <t>Coucher_Soleil141</t>
  </si>
  <si>
    <t>Longueur_Jour142</t>
  </si>
  <si>
    <t>Lever_Soleil143</t>
  </si>
  <si>
    <t>Coucher_Soleil144</t>
  </si>
  <si>
    <t>Longueur_Jour145</t>
  </si>
  <si>
    <t>Lever_Soleil_Moy</t>
  </si>
  <si>
    <t>Coucher_Soleil_Moy</t>
  </si>
  <si>
    <t>Longueur_Jour_Moy</t>
  </si>
  <si>
    <t>Punaauia_6</t>
  </si>
  <si>
    <t>Hors vallée</t>
  </si>
  <si>
    <t>Crête vallée</t>
  </si>
  <si>
    <t>Fond vallée</t>
  </si>
  <si>
    <t>Plateau vallée</t>
  </si>
  <si>
    <t>-17.749837</t>
  </si>
  <si>
    <t>-149.393569</t>
  </si>
  <si>
    <t>1_ID</t>
  </si>
  <si>
    <t>PI_Embouchure_4</t>
  </si>
  <si>
    <t>Ifremer_2</t>
  </si>
  <si>
    <t>Punaauia_1</t>
  </si>
  <si>
    <t>Papeete_1</t>
  </si>
  <si>
    <t>9_Description_habita</t>
  </si>
  <si>
    <t>10% pelouse, 50% arbre, 40% arbustes,5% construction anthropique</t>
  </si>
  <si>
    <t>50% herbacés, 50% arbustes, 50% arbres</t>
  </si>
  <si>
    <t>40% herbacés, 50% arbustes, 60% arbres</t>
  </si>
  <si>
    <t>40% herbacés, 60% arbustes,70% arbred</t>
  </si>
  <si>
    <t>50% strateherbacés haute, 60% arbustes, 40% arbres</t>
  </si>
  <si>
    <t>60% haute herbacées haute, 40% arbuste, 20% arbres</t>
  </si>
  <si>
    <t>60% herbacé, 60% arbustes, 60% arbres</t>
  </si>
  <si>
    <t>30% chemin terre/gravier, 70% herbacés, 40% arbustes, 15% arbres</t>
  </si>
  <si>
    <t>Prairies maj</t>
  </si>
  <si>
    <t>Prairie / paturage</t>
  </si>
  <si>
    <t>Foret / prairie</t>
  </si>
  <si>
    <t>Prairie / champ</t>
  </si>
  <si>
    <t>40% pelouse, 30% goudron, 30%batiments</t>
  </si>
  <si>
    <t>70% pelouse, 20% bassin, 20%construction anthropique</t>
  </si>
  <si>
    <t>80% arbres, 40%herbe, 40% arbustes, 10% anthropique</t>
  </si>
  <si>
    <t>90% arbre, 50% arbuste,5% terre,40% herbe</t>
  </si>
  <si>
    <t>90% arbres, 5% terre, 40% herbe, 30% arbustes</t>
  </si>
  <si>
    <t>20% arbre, 40% arbuste, 70% fougeres, 5% terre</t>
  </si>
  <si>
    <t>80%arbre, 60% arbustes, 5% route, 50% herbe</t>
  </si>
  <si>
    <t>90% arbre, 5% route, 30% arbuste, 40% herbacées</t>
  </si>
  <si>
    <t>90% arbre, 5%route, 30% arbuste, 30%herbacee</t>
  </si>
  <si>
    <t>40% arbre, 50% anthropique,10% terre, 20% arbustes</t>
  </si>
  <si>
    <t>50% arbres, 50% maisons/anthropique, 10% terre, 10% arbustes</t>
  </si>
  <si>
    <t>90% arbre, 20% arbustes, 70% herbacées</t>
  </si>
  <si>
    <t>90% arbre, 10% terre,60% arbuste, 20% herbacees</t>
  </si>
  <si>
    <t>80% arbre, 60% arbustes,70% herbacées</t>
  </si>
  <si>
    <t>90% arbre, 70% arbustes, 30%herbacées</t>
  </si>
  <si>
    <t>60% herbacées, 20% anthropique, 50% arbre, 30% arbustes</t>
  </si>
  <si>
    <t>90% anthropique, 10% arbustes, 10% herbe</t>
  </si>
  <si>
    <t>20% arbuste, 40% arbre,70% herbe, +rochers</t>
  </si>
  <si>
    <t>90% arbre, 60% arbuste, 10% rochers</t>
  </si>
  <si>
    <t>90% arbre, 40% arbustes, 40%herbacee</t>
  </si>
  <si>
    <t>40% arbustes, 30% herbe, 70% anthropique</t>
  </si>
  <si>
    <t>40% arbuste, 40% herbe,20% anthropique</t>
  </si>
  <si>
    <t>70% anthropique, 10% arbustes, 30% herbe</t>
  </si>
  <si>
    <t>80% herbe,20% anthropiqeu, 10% arbustes</t>
  </si>
  <si>
    <t>30% arbre, 10% arbuste, 10%herbe, 20% terre,40% anthropique</t>
  </si>
  <si>
    <t>30% arbuste,90% anthropique, 10% herbe</t>
  </si>
  <si>
    <t>80% herbe, 20% anthropique, 10% arbuste</t>
  </si>
  <si>
    <t>80% herbe,20% anthropique, 10% arbre, 5% sable et plage</t>
  </si>
  <si>
    <t>20% arbre, 10% arbuste, 60% herbe,40% anthropique</t>
  </si>
  <si>
    <t>10% arbuste, 30% herbe, 70% anthropique</t>
  </si>
  <si>
    <t>90% arbre, 60% arbuste, 5% anthropique (route)</t>
  </si>
  <si>
    <t>10% herbe, 30% arbuste, 70% anthropique</t>
  </si>
  <si>
    <t>20% herbe, 10% arbre, 10% arbuste, 70% anthropique</t>
  </si>
  <si>
    <t>20% herbe, 30% arbre, 70% anthropique</t>
  </si>
  <si>
    <t>50%herbe, 30% arbuste,30% arbre, 40% anthropique</t>
  </si>
  <si>
    <t>PI_Embouchure_4 SMM09234 - 1502_21022024 - A0474 - Gaia -17.87116, -149.18017 - Carte SD 128 Go 27 extreme pro</t>
  </si>
  <si>
    <t>-17.87116</t>
  </si>
  <si>
    <t>-149.18017</t>
  </si>
  <si>
    <t>Ifremer_2 SMM02940 - 2702_03032024 - Gaia -17.80483, -149.29361 - Carte SD 32 Go noire K</t>
  </si>
  <si>
    <t>-149.29361</t>
  </si>
  <si>
    <t>-17.80483</t>
  </si>
  <si>
    <t>SMM09240</t>
  </si>
  <si>
    <t>Embouchure_4</t>
  </si>
  <si>
    <t>Arbre(%)</t>
  </si>
  <si>
    <t>Arbuste(%)</t>
  </si>
  <si>
    <t>Alt(m)</t>
  </si>
  <si>
    <t>Hab</t>
  </si>
  <si>
    <t>T_Min_M(C°)</t>
  </si>
  <si>
    <t>P_J_Max(mm)</t>
  </si>
  <si>
    <t>P_J_Moy(mm)</t>
  </si>
  <si>
    <t>T_Max_M(C°)</t>
  </si>
  <si>
    <t>Azi(°)</t>
  </si>
  <si>
    <t>Ori</t>
  </si>
  <si>
    <t>Val</t>
  </si>
  <si>
    <t>D_R_P(m)</t>
  </si>
  <si>
    <t>D_M(m)</t>
  </si>
  <si>
    <t>D_B(m)</t>
  </si>
  <si>
    <t>Arb(%)</t>
  </si>
  <si>
    <t>Arbu(%)</t>
  </si>
  <si>
    <t>Her(%)</t>
  </si>
  <si>
    <t>Ant(%)</t>
  </si>
  <si>
    <t>Tps_Ana</t>
  </si>
  <si>
    <t>Nom_Tab</t>
  </si>
  <si>
    <t>Nom_Complet</t>
  </si>
  <si>
    <t>Description</t>
  </si>
  <si>
    <t>Nom du dossier dans les données acoustique du disque dur</t>
  </si>
  <si>
    <t>Nom du site d'enregistrement</t>
  </si>
  <si>
    <t>Enregistreur acoustique automatique</t>
  </si>
  <si>
    <t>Etiquette de l'enregistreur utilisée pour chaque site</t>
  </si>
  <si>
    <t>Date de pose de l'enregistreur</t>
  </si>
  <si>
    <t>Date de fin d'enregistrement</t>
  </si>
  <si>
    <t>Lever_Soleil_Moyen</t>
  </si>
  <si>
    <t>Coucher_Soleil_Moyen</t>
  </si>
  <si>
    <t>Longueur_Jour_Moyen</t>
  </si>
  <si>
    <t>Date du lever de soleil pour chaque site/enregistreur, en moyenne pour les jour ou ils ont été posé</t>
  </si>
  <si>
    <t>Date du coucher de soleil pour chaque site/enregistreur, en moyenne pour les jour ou ils ont été posé</t>
  </si>
  <si>
    <t>Durée de longeur de jour pour chaque site/enregistreur, en moyenne pour les jour ou ils ont été posé</t>
  </si>
  <si>
    <t>Latitude pour chaque point GPS des enregistreurs</t>
  </si>
  <si>
    <t>Longitude pour chaque point GPS des enregistreurs</t>
  </si>
  <si>
    <t>Altitude</t>
  </si>
  <si>
    <t>Altitude pour chaque enregistreur</t>
  </si>
  <si>
    <t>Commune ou un ensemble d'enregistreur en gradiant ont pu être posé</t>
  </si>
  <si>
    <t>Sous île</t>
  </si>
  <si>
    <t>Cas ou on a une presqu'ile pour l'île étudié, ici Tahiti et sa presqu'île</t>
  </si>
  <si>
    <t>Île où les données ont pu être récupérées</t>
  </si>
  <si>
    <t>Archipel où les données ont pu être récupérées</t>
  </si>
  <si>
    <t>Habitat type pour la zone de chaque enregistreur. Ce décompose en quatre possibilité (Urbain Suburbain Prairie et Forêt)</t>
  </si>
  <si>
    <t>Station_Météo</t>
  </si>
  <si>
    <t>Précipitation_Jour_Moyenne(mm)</t>
  </si>
  <si>
    <t>Station météo proche pour chaque site/enregistreur, afin de respecter au mieux la météo des jours d'échantillonage. Feuilles "Sta_"</t>
  </si>
  <si>
    <t>Précipitation_Jour_Maximum(mm)</t>
  </si>
  <si>
    <t>Quantité de précipitation moyenne par jour pour une station donnée, si plusieurs station associées, la moyenne est faite sur l'ensemble. Feuille "Précipitation"</t>
  </si>
  <si>
    <t>Quantité de précipitation maximal pour un jour d'une station donnée, si plusieurs station associées, on prend la valeur maximal pour  sur l'ensemble. Feuille "Précipitation"</t>
  </si>
  <si>
    <t>Température_Minimal_Moyenne(C°)</t>
  </si>
  <si>
    <t>Température maximale mesurée, en moyenne sur l'ensemble des jours d'enregistrement</t>
  </si>
  <si>
    <t>Température minimale mesurée, en moyenne sur l'ensemble des jours d'enregistrement</t>
  </si>
  <si>
    <t>Température_Maximale_Moyenne(C°)</t>
  </si>
  <si>
    <t>Azimut ou orientation donnée par rapport au centre de la Sous_Île (Tahiti iti ou nui), permet d'avoir l'orientation en degrée</t>
  </si>
  <si>
    <t>Orientation classique des vallée, liée à l'Azimut mais ici donnée en direction Nord, Nord Ouest etc..</t>
  </si>
  <si>
    <t>Vallée</t>
  </si>
  <si>
    <t>Zone arbitraire où l'enregistreur a été posé, en hors, fond ou crête de vallée</t>
  </si>
  <si>
    <t>Distance_Route_Principale(m)</t>
  </si>
  <si>
    <t>Distance direct entre l'enregistreur et la route principale faisant le tour de Tahiti, ou il y a le plus d'activité</t>
  </si>
  <si>
    <t>Distance la plus courte à la mer</t>
  </si>
  <si>
    <t>Distance_batiment(m)</t>
  </si>
  <si>
    <t>Distance la plus courte à un batiment construit</t>
  </si>
  <si>
    <t>Hard_Surface_Area(%)</t>
  </si>
  <si>
    <t>Pourcentage de surface batie dans un rayon de 100m autour des enregistreurs, informe sur l'antropisation des millieux enregistrés</t>
  </si>
  <si>
    <t>Surface batie(m²)</t>
  </si>
  <si>
    <t>Surface batie mesurée par polygone à l'intérieur des cercles de 100 m de diamètre, permet d'obtenir le HSA</t>
  </si>
  <si>
    <t>Herbacée(%)</t>
  </si>
  <si>
    <t>Couvert de végétation herbacée visible autour des enregistreurs posés, effectuée par Emma Pilleboue lors de son stage et de la pose des EAA</t>
  </si>
  <si>
    <t>Couvert de végétation arborée visible autour des enregistreurs posés, effectuée par Emma Pilleboue lors de son stage et de la pose des EAA</t>
  </si>
  <si>
    <t>Couvert de végétation arbustive visible autour des enregistreurs posés, effectuée par Emma Pilleboue lors de son stage et de la pose des EAA</t>
  </si>
  <si>
    <t>Anthropisque(%)</t>
  </si>
  <si>
    <t>Couvert de surface anthropique visible autour des enregistreurs, du batiments à la route bitumée</t>
  </si>
  <si>
    <t>Natif/Exotique</t>
  </si>
  <si>
    <t>Proportion d'espèce Natif détectée sur les exotiques, lors de deux points écoutes effectuées à posteriori sur les données acoustique, on effectue la proportion conjointement sur la diversité totale détectée lors des deux points écoutes de 10 minutes</t>
  </si>
  <si>
    <t>Species Richness</t>
  </si>
  <si>
    <t>Richesse total en espèce aviaire détecté  lors de deux points écoutes effectuées à posteriori sur les données acoustique, on prend en compte la diversité maximal en combiant les deux points écoutes de 10 minutes</t>
  </si>
  <si>
    <t>Temps_Analysée</t>
  </si>
  <si>
    <t>Nombre de minutes analysées pour obtenir les indices acoutiques</t>
  </si>
  <si>
    <t>Nb_Day_2024</t>
  </si>
  <si>
    <t>Nombre_Jour_2024</t>
  </si>
  <si>
    <t>Nombre de jour écoulée depuis le début de l'année 2024, avant la mise en place de l'enregistreur.</t>
  </si>
  <si>
    <t>Variables</t>
  </si>
  <si>
    <t>Temps_Analysé</t>
  </si>
  <si>
    <t>Anthropique(%)</t>
  </si>
  <si>
    <t>OBelvedere_8 SMM02752 - 2703_02042024 - Gaia -17.54568, -149.54451 - Carte SD 32 Go 40 extreme</t>
  </si>
  <si>
    <t>Station_Temp</t>
  </si>
  <si>
    <t>Station_Prec</t>
  </si>
  <si>
    <t>Date</t>
  </si>
  <si>
    <t>PAPEARI 4</t>
  </si>
  <si>
    <t>PAPARA 8, PUNAAUIA 6</t>
  </si>
  <si>
    <t>AFAAHITI 2, AFAAHITI 4</t>
  </si>
  <si>
    <t>TEAHUPOO, TEAHUPOO 1, TEAHUPOO 2</t>
  </si>
  <si>
    <t>TEAHUPOO 1</t>
  </si>
  <si>
    <t>TEAHUPOO 2</t>
  </si>
  <si>
    <t>PUNAAUIA 3</t>
  </si>
  <si>
    <t>AFAAHITI 4</t>
  </si>
  <si>
    <t>PAEA 3</t>
  </si>
  <si>
    <t>MATAIEA 4</t>
  </si>
  <si>
    <t>PAPEARI 1, PAPEARI4, MATAIEA 4</t>
  </si>
  <si>
    <t>PAPEETE 2, PAPEETE3</t>
  </si>
  <si>
    <t>PAPARA 8, PAEA 3</t>
  </si>
  <si>
    <t>PUNAAUIA 3, PUNAAUIA 6</t>
  </si>
  <si>
    <t>P/A_Myna</t>
  </si>
  <si>
    <t>P/A_Natif</t>
  </si>
  <si>
    <t>For Azimut :</t>
  </si>
  <si>
    <t>S_Exo</t>
  </si>
  <si>
    <t>P_J_Moy</t>
  </si>
  <si>
    <t>P_J_Max</t>
  </si>
  <si>
    <t>T_Min_M</t>
  </si>
  <si>
    <t>T_Max_M</t>
  </si>
  <si>
    <t>Azi</t>
  </si>
  <si>
    <t>D_R_P</t>
  </si>
  <si>
    <t>D_M</t>
  </si>
  <si>
    <t>D_B</t>
  </si>
  <si>
    <t>HSA</t>
  </si>
  <si>
    <t>Arb</t>
  </si>
  <si>
    <t>Arbu</t>
  </si>
  <si>
    <t>Her</t>
  </si>
  <si>
    <t>Ant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</si>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</sst>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7EB680"/>
      <name val="ADLaM Display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1" applyFont="1"/>
    <xf numFmtId="0" fontId="0" fillId="2" borderId="0" xfId="0" applyFill="1"/>
    <xf numFmtId="0" fontId="0" fillId="2" borderId="0" xfId="0" quotePrefix="1" applyFill="1"/>
    <xf numFmtId="0" fontId="4" fillId="0" borderId="0" xfId="0" applyFont="1" applyAlignment="1">
      <alignment vertical="center" wrapText="1"/>
    </xf>
    <xf numFmtId="0" fontId="5" fillId="0" borderId="0" xfId="2" applyFont="1"/>
    <xf numFmtId="14" fontId="5" fillId="0" borderId="0" xfId="2" applyNumberFormat="1" applyFont="1"/>
    <xf numFmtId="20" fontId="5" fillId="0" borderId="0" xfId="2" applyNumberFormat="1" applyFont="1"/>
    <xf numFmtId="0" fontId="5" fillId="0" borderId="0" xfId="0" applyFont="1"/>
    <xf numFmtId="0" fontId="5" fillId="0" borderId="0" xfId="0" quotePrefix="1" applyFont="1"/>
    <xf numFmtId="14" fontId="5" fillId="0" borderId="0" xfId="0" applyNumberFormat="1" applyFont="1"/>
    <xf numFmtId="0" fontId="6" fillId="0" borderId="0" xfId="0" applyFont="1"/>
    <xf numFmtId="0" fontId="5" fillId="2" borderId="0" xfId="0" applyFont="1" applyFill="1"/>
    <xf numFmtId="0" fontId="5" fillId="2" borderId="0" xfId="0" quotePrefix="1" applyFont="1" applyFill="1"/>
    <xf numFmtId="0" fontId="5" fillId="0" borderId="0" xfId="0" applyFont="1" applyAlignment="1">
      <alignment vertical="center" wrapText="1"/>
    </xf>
    <xf numFmtId="20" fontId="0" fillId="0" borderId="0" xfId="0" applyNumberFormat="1"/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0" fillId="2" borderId="1" xfId="0" applyFill="1" applyBorder="1"/>
    <xf numFmtId="14" fontId="0" fillId="2" borderId="0" xfId="0" applyNumberFormat="1" applyFill="1"/>
    <xf numFmtId="14" fontId="0" fillId="2" borderId="1" xfId="0" applyNumberFormat="1" applyFill="1" applyBorder="1"/>
    <xf numFmtId="0" fontId="0" fillId="0" borderId="2" xfId="0" applyBorder="1"/>
    <xf numFmtId="20" fontId="11" fillId="3" borderId="3" xfId="0" applyNumberFormat="1" applyFont="1" applyFill="1" applyBorder="1" applyAlignment="1">
      <alignment vertical="top" wrapText="1"/>
    </xf>
    <xf numFmtId="20" fontId="11" fillId="3" borderId="4" xfId="0" applyNumberFormat="1" applyFont="1" applyFill="1" applyBorder="1" applyAlignment="1">
      <alignment vertical="top" wrapText="1"/>
    </xf>
    <xf numFmtId="20" fontId="11" fillId="3" borderId="5" xfId="0" applyNumberFormat="1" applyFont="1" applyFill="1" applyBorder="1" applyAlignment="1">
      <alignment vertical="top" wrapText="1"/>
    </xf>
    <xf numFmtId="20" fontId="11" fillId="4" borderId="3" xfId="0" applyNumberFormat="1" applyFont="1" applyFill="1" applyBorder="1" applyAlignment="1">
      <alignment vertical="top" wrapText="1"/>
    </xf>
    <xf numFmtId="20" fontId="11" fillId="4" borderId="4" xfId="0" applyNumberFormat="1" applyFont="1" applyFill="1" applyBorder="1" applyAlignment="1">
      <alignment vertical="top" wrapText="1"/>
    </xf>
    <xf numFmtId="20" fontId="11" fillId="4" borderId="5" xfId="0" applyNumberFormat="1" applyFont="1" applyFill="1" applyBorder="1" applyAlignment="1">
      <alignment vertical="top" wrapText="1"/>
    </xf>
    <xf numFmtId="20" fontId="11" fillId="3" borderId="0" xfId="0" applyNumberFormat="1" applyFont="1" applyFill="1" applyAlignment="1">
      <alignment vertical="top" wrapText="1"/>
    </xf>
    <xf numFmtId="20" fontId="11" fillId="4" borderId="0" xfId="0" applyNumberFormat="1" applyFont="1" applyFill="1" applyAlignment="1">
      <alignment vertical="top" wrapText="1"/>
    </xf>
    <xf numFmtId="2" fontId="0" fillId="0" borderId="0" xfId="0" applyNumberFormat="1"/>
    <xf numFmtId="0" fontId="10" fillId="0" borderId="2" xfId="0" applyFont="1" applyBorder="1"/>
    <xf numFmtId="0" fontId="0" fillId="0" borderId="1" xfId="0" applyBorder="1"/>
    <xf numFmtId="0" fontId="12" fillId="0" borderId="0" xfId="0" applyFont="1"/>
    <xf numFmtId="0" fontId="0" fillId="0" borderId="1" xfId="0" quotePrefix="1" applyBorder="1"/>
    <xf numFmtId="2" fontId="10" fillId="0" borderId="2" xfId="0" applyNumberFormat="1" applyFont="1" applyBorder="1"/>
    <xf numFmtId="1" fontId="0" fillId="0" borderId="0" xfId="0" applyNumberFormat="1"/>
    <xf numFmtId="0" fontId="10" fillId="0" borderId="1" xfId="0" applyFont="1" applyBorder="1"/>
    <xf numFmtId="0" fontId="10" fillId="0" borderId="6" xfId="0" applyFont="1" applyBorder="1"/>
    <xf numFmtId="0" fontId="0" fillId="0" borderId="7" xfId="0" applyBorder="1"/>
    <xf numFmtId="2" fontId="10" fillId="0" borderId="6" xfId="0" applyNumberFormat="1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3">
    <cellStyle name="Normal" xfId="0" builtinId="0"/>
    <cellStyle name="Normal 2" xfId="2" xr:uid="{05443806-809F-467A-AECD-792AFA9C9330}"/>
    <cellStyle name="Pourcentage" xfId="1" builtinId="5"/>
  </cellStyles>
  <dxfs count="16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numFmt numFmtId="25" formatCode="hh:mm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rgb="FFE3E3E3"/>
        </right>
        <top style="medium">
          <color rgb="FFE3E3E3"/>
        </top>
        <bottom style="medium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numFmt numFmtId="25" formatCode="hh:mm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E3E3E3"/>
        </top>
        <bottom style="medium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numFmt numFmtId="25" formatCode="hh:mm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3E3E3"/>
        </left>
        <right/>
        <top style="medium">
          <color rgb="FFE3E3E3"/>
        </top>
        <bottom style="medium">
          <color rgb="FFE3E3E3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numFmt numFmtId="25" formatCode="hh:mm"/>
      <fill>
        <patternFill patternType="solid">
          <fgColor indexed="64"/>
          <bgColor rgb="FFF5F5F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rgb="FFE3E3E3"/>
        </right>
        <top style="medium">
          <color rgb="FFE3E3E3"/>
        </top>
        <bottom style="medium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numFmt numFmtId="25" formatCode="hh:mm"/>
      <fill>
        <patternFill patternType="solid">
          <fgColor indexed="64"/>
          <bgColor rgb="FFF5F5F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E3E3E3"/>
        </top>
        <bottom style="medium">
          <color rgb="FFE3E3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numFmt numFmtId="25" formatCode="hh:mm"/>
      <fill>
        <patternFill patternType="solid">
          <fgColor indexed="64"/>
          <bgColor rgb="FFF5F5F5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3E3E3"/>
        </left>
        <right/>
        <top style="medium">
          <color rgb="FFE3E3E3"/>
        </top>
        <bottom style="medium">
          <color rgb="FFE3E3E3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5" formatCode="hh:mm"/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0C6B5-67E9-4337-B659-080E1D6CAC6D}" name="Tableau1" displayName="Tableau1" ref="A1:AP52" totalsRowShown="0">
  <autoFilter ref="A1:AP52" xr:uid="{AD00C6B5-67E9-4337-B659-080E1D6CAC6D}"/>
  <sortState xmlns:xlrd2="http://schemas.microsoft.com/office/spreadsheetml/2017/richdata2" ref="A2:AI52">
    <sortCondition ref="A1:A52"/>
  </sortState>
  <tableColumns count="42">
    <tableColumn id="1" xr3:uid="{8EFBA4D5-5D56-42FA-A681-468FCF2B9B2B}" name="Fichier"/>
    <tableColumn id="2" xr3:uid="{8C8A7BB7-F307-4473-A4E7-C70D6E68F3A1}" name="Enr"/>
    <tableColumn id="3" xr3:uid="{14D3C3C8-D0CE-41E1-9D4D-87286C1B27A0}" name="EAA"/>
    <tableColumn id="4" xr3:uid="{DC868BC8-3FA0-426C-8640-6CBE7187B76D}" name="Début"/>
    <tableColumn id="5" xr3:uid="{DE66725E-2C47-4C11-95B4-D42D9DA37D80}" name="Fin"/>
    <tableColumn id="36" xr3:uid="{2C67EB09-3F94-4C5B-B7DE-70A3CA9076F9}" name="Lever_Soleil_Moy" dataDxfId="162">
      <calculatedColumnFormula>AVERAGE(Soleil!$B$5:$B$10)</calculatedColumnFormula>
    </tableColumn>
    <tableColumn id="37" xr3:uid="{255471ED-8223-4454-9BA4-9EEF2752D31C}" name="Coucher_Soleil_Moy" dataDxfId="161">
      <calculatedColumnFormula>AVERAGE(Soleil!$C$5:$C$10)</calculatedColumnFormula>
    </tableColumn>
    <tableColumn id="22" xr3:uid="{23CFC216-0A8E-41D6-B741-6CBA0E01EDF8}" name="Longueur_Jour_Moy" dataDxfId="160">
      <calculatedColumnFormula>AVERAGE(Soleil!$D$5:$D$10)</calculatedColumnFormula>
    </tableColumn>
    <tableColumn id="6" xr3:uid="{0C75835D-B25E-424D-8D52-CDDAA12B3244}" name="Latitude"/>
    <tableColumn id="7" xr3:uid="{32761622-8D4D-45A3-9F66-2818A656A286}" name="Longitude"/>
    <tableColumn id="18" xr3:uid="{E2C011CA-0CCD-47BA-9838-D76857805CFE}" name="Alt"/>
    <tableColumn id="8" xr3:uid="{E97A35CA-8830-423C-B2A6-7915E98A8CDB}" name="Commune"/>
    <tableColumn id="28" xr3:uid="{80E5C2AC-71A3-40CE-853E-F5DAAC342ADD}" name="Sous_île"/>
    <tableColumn id="9" xr3:uid="{529C03AB-7823-4E7E-AAAC-D9A38D82B72E}" name="Île"/>
    <tableColumn id="10" xr3:uid="{8322CEB6-A97B-4009-AE32-AA8F9D46C5FB}" name="Archipel"/>
    <tableColumn id="17" xr3:uid="{9E0A6B5D-4294-4F78-9CC5-09E16F71FE32}" name="Hab"/>
    <tableColumn id="20" xr3:uid="{D018CAAB-DCC2-4E9E-B09C-3DEB41AEFA47}" name="Station_Prec"/>
    <tableColumn id="40" xr3:uid="{51E18349-5887-4F67-A7F9-AFB17EE9B5A3}" name="Station_Temp"/>
    <tableColumn id="29" xr3:uid="{FE86F90D-EAEC-4C80-900A-441F740D8177}" name="P_J_Moy" dataDxfId="159"/>
    <tableColumn id="23" xr3:uid="{FEAA2549-07BA-45BB-929D-F829B9ACE6B9}" name="P_J_Max" dataDxfId="158"/>
    <tableColumn id="32" xr3:uid="{6C9CDFE2-4B15-44A0-BFA9-5BEDA47CD250}" name="T_Min_M" dataDxfId="157"/>
    <tableColumn id="24" xr3:uid="{D41ED650-1DCA-4CFD-BAC3-9E7A1C62D5D4}" name="T_Max_M" dataDxfId="156"/>
    <tableColumn id="11" xr3:uid="{D11B611B-C780-45C9-9ECC-7177B7CFF3B1}" name="Azi"/>
    <tableColumn id="21" xr3:uid="{4279BCE3-6017-42F9-A75E-F996CDC971B7}" name="Ori"/>
    <tableColumn id="33" xr3:uid="{4F0C14C8-FC42-44F7-B314-FCEA0F06B998}" name="Val"/>
    <tableColumn id="19" xr3:uid="{645210B3-16FF-4927-807C-19218F2C5C9F}" name="D_R_P"/>
    <tableColumn id="26" xr3:uid="{258428B3-F0CC-4543-8DAE-A0FC959CD166}" name="D_M"/>
    <tableColumn id="35" xr3:uid="{C9542554-B223-4FE9-AB18-BA6E3F93F09A}" name="D_B"/>
    <tableColumn id="13" xr3:uid="{ED2FA7B0-A7CA-4FA8-8432-698EB6EF5AE7}" name="HSA"/>
    <tableColumn id="14" xr3:uid="{918A068B-AE49-43C0-8850-33296B0E6F32}" name="Surface batie (m)"/>
    <tableColumn id="25" xr3:uid="{C26E14C6-ED91-4F77-AEE4-A74574E2531D}" name="Arb" dataDxfId="155"/>
    <tableColumn id="30" xr3:uid="{90AC2A10-1981-400A-AD8E-2318EAA2AD58}" name="Arbu" dataDxfId="154"/>
    <tableColumn id="31" xr3:uid="{A2DFB0B4-6872-4A23-9A51-759E9CFD992F}" name="Her" dataDxfId="153"/>
    <tableColumn id="34" xr3:uid="{BE67163C-63D7-463B-9762-31D7F62863D7}" name="Ant" dataDxfId="152"/>
    <tableColumn id="15" xr3:uid="{F74FF461-E300-431C-9405-61363AF64C30}" name="N/E" dataDxfId="151">
      <calculatedColumnFormula>Feuil2!J3/Feuil2!K3</calculatedColumnFormula>
    </tableColumn>
    <tableColumn id="16" xr3:uid="{639E41D9-FCF4-46C8-9CD3-BB01E197ECCF}" name="S" dataDxfId="150">
      <calculatedColumnFormula>Feuil2!J3+Feuil2!K3</calculatedColumnFormula>
    </tableColumn>
    <tableColumn id="39" xr3:uid="{31CBFDB6-200A-4A6B-A5F6-2AB2A39058BB}" name="P/A_Myna">
      <calculatedColumnFormula>IF(COUNTIF(Feuil2!B3:B7,"Acridotheres tristis"),1,0)</calculatedColumnFormula>
    </tableColumn>
    <tableColumn id="41" xr3:uid="{9FBCD20F-B1C1-41B5-AB91-154B74BB74B1}" name="P/A_Natif"/>
    <tableColumn id="42" xr3:uid="{AC9BEFF0-43D2-4F38-A779-7D6C4536A66E}" name="S_Exo"/>
    <tableColumn id="12" xr3:uid="{02BA55B0-3CC1-433E-82C2-F761BC8DEA44}" name="Tps_Ana"/>
    <tableColumn id="38" xr3:uid="{5AB3DBA8-D041-4CD5-AE0E-FA54FE852D31}" name="Nb_Day_2024"/>
    <tableColumn id="27" xr3:uid="{A001606F-EACC-48AA-9FD0-E335A0C901A4}" name="Qualité,Commentair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E9EE0-C4C3-48C4-92A7-38A62112D7D9}" name="Tableau2" displayName="Tableau2" ref="A1:ER12" totalsRowShown="0" headerRowDxfId="149" dataDxfId="148">
  <autoFilter ref="A1:ER12" xr:uid="{87EE9EE0-C4C3-48C4-92A7-38A62112D7D9}"/>
  <tableColumns count="148">
    <tableColumn id="1" xr3:uid="{20D4BC84-22B5-4E3C-8BAE-5629976E2E66}" name="Colonne1" dataDxfId="147"/>
    <tableColumn id="2" xr3:uid="{EFD8229E-CE41-46E0-A229-41C4296315BE}" name="Lever_Soleil" dataDxfId="146"/>
    <tableColumn id="3" xr3:uid="{846DB456-7A6B-469D-8EBD-E18C0B98CBD9}" name="Coucher_Soleil" dataDxfId="145"/>
    <tableColumn id="4" xr3:uid="{8C8A4E30-7841-495D-9093-7AB5BEA0ED12}" name="Longueur_Jour" dataDxfId="144"/>
    <tableColumn id="5" xr3:uid="{691DA98A-3373-4356-8F8E-8118FFFAB608}" name="Lever_Soleil2" dataDxfId="143"/>
    <tableColumn id="6" xr3:uid="{D5C8730F-79F6-45D8-A769-F4BF4175BF83}" name="Coucher_Soleil3" dataDxfId="142"/>
    <tableColumn id="7" xr3:uid="{49B38B77-264A-477E-91A3-5FCFEA40BED5}" name="Longueur_Jour4" dataDxfId="141"/>
    <tableColumn id="8" xr3:uid="{A38B8AC0-B740-4EC7-BFDC-B7F22AC935FB}" name="Lever_Soleil5" dataDxfId="140"/>
    <tableColumn id="9" xr3:uid="{7BAF1DAF-39DB-4AB0-9F50-38F66EA897DB}" name="Coucher_Soleil6" dataDxfId="139"/>
    <tableColumn id="10" xr3:uid="{351B7420-E2F0-475C-8890-6A211D219B68}" name="Longueur_Jour7" dataDxfId="138"/>
    <tableColumn id="11" xr3:uid="{885D99E4-A535-4D2C-A95C-F5233478644B}" name="Lever_Soleil8" dataDxfId="137"/>
    <tableColumn id="12" xr3:uid="{88F59489-0F68-4AB1-A84B-1C90DBC9A22B}" name="Coucher_Soleil9" dataDxfId="136"/>
    <tableColumn id="13" xr3:uid="{C85916BB-7FC5-4BB9-93E0-5961374613D0}" name="Longueur_Jour10" dataDxfId="135"/>
    <tableColumn id="14" xr3:uid="{B19439CA-3EDE-47A1-A669-B43DAB879C46}" name="Lever_Soleil11" dataDxfId="134"/>
    <tableColumn id="15" xr3:uid="{81EF8802-EF48-411F-AAEA-222691A275B9}" name="Coucher_Soleil12" dataDxfId="133"/>
    <tableColumn id="16" xr3:uid="{BB78D67A-3BF7-44A6-A8F6-FE51F55852C4}" name="Longueur_Jour13" dataDxfId="132"/>
    <tableColumn id="17" xr3:uid="{7714CC92-9FF9-4F65-A0AC-74B7E767A98D}" name="Lever_Soleil14" dataDxfId="131"/>
    <tableColumn id="18" xr3:uid="{9E6F5FFE-CF54-42F9-891B-768FE27206B3}" name="Coucher_Soleil15" dataDxfId="130"/>
    <tableColumn id="19" xr3:uid="{18D6852E-A9C1-45DF-86D7-5951F7868A64}" name="Longueur_Jour16" dataDxfId="129"/>
    <tableColumn id="20" xr3:uid="{58188E6B-115D-44CD-A542-95426A4E7667}" name="Lever_Soleil17" dataDxfId="128"/>
    <tableColumn id="21" xr3:uid="{D142500E-00BA-46E3-9A55-29C86D99D691}" name="Coucher_Soleil18" dataDxfId="127"/>
    <tableColumn id="22" xr3:uid="{36AE8A5C-0787-4196-A29D-E3F3F16DF94B}" name="Longueur_Jour19" dataDxfId="126"/>
    <tableColumn id="23" xr3:uid="{874370BE-EE3E-43FE-8E27-EFFE4FE03A5E}" name="Lever_Soleil20" dataDxfId="125"/>
    <tableColumn id="24" xr3:uid="{F6E0B8BB-E997-421D-9D96-DEAEA0613E61}" name="Coucher_Soleil21" dataDxfId="124"/>
    <tableColumn id="25" xr3:uid="{6BC8C0A0-0654-48D9-965C-D1B79034CB1B}" name="Longueur_Jour22" dataDxfId="123"/>
    <tableColumn id="26" xr3:uid="{40DA6876-BB73-44D6-B2D5-AA49842F58FF}" name="Lever_Soleil23" dataDxfId="122"/>
    <tableColumn id="27" xr3:uid="{0A9E22D8-A1F8-44A7-8524-82E0C206F10D}" name="Coucher_Soleil24" dataDxfId="121"/>
    <tableColumn id="28" xr3:uid="{A904583E-3004-4A99-BCD8-54D1874753FC}" name="Longueur_Jour25" dataDxfId="120"/>
    <tableColumn id="29" xr3:uid="{39CAC9E8-FA15-4927-B497-15B38D58A182}" name="Lever_Soleil26" dataDxfId="119"/>
    <tableColumn id="30" xr3:uid="{AE6B50E4-F761-4172-BF57-22CBF0395A4E}" name="Coucher_Soleil27" dataDxfId="118"/>
    <tableColumn id="31" xr3:uid="{097E19DF-6F57-44AD-831D-904CBD89138D}" name="Longueur_Jour28" dataDxfId="117"/>
    <tableColumn id="32" xr3:uid="{7BF57E1F-6509-49A9-AB74-A6BD47C8EE08}" name="Lever_Soleil29" dataDxfId="116"/>
    <tableColumn id="33" xr3:uid="{74EAF9C1-1E48-4666-AADC-031051A18129}" name="Coucher_Soleil30" dataDxfId="115"/>
    <tableColumn id="34" xr3:uid="{E495A3CB-9EA3-4AD9-8D03-60575CBCDE2A}" name="Longueur_Jour31" dataDxfId="114"/>
    <tableColumn id="35" xr3:uid="{FF6F267B-BADD-4A7F-BEC6-73E1C971DEB6}" name="Lever_Soleil32" dataDxfId="113"/>
    <tableColumn id="36" xr3:uid="{D0016666-1E0C-4554-B26F-9B104E63C637}" name="Coucher_Soleil33" dataDxfId="112"/>
    <tableColumn id="37" xr3:uid="{91FE14D6-0D7D-4FA5-AB1B-AE61D582CC29}" name="Longueur_Jour34" dataDxfId="111"/>
    <tableColumn id="38" xr3:uid="{41544535-C230-45E1-A706-E681DC253078}" name="Lever_Soleil35" dataDxfId="110"/>
    <tableColumn id="39" xr3:uid="{BC83DC29-DB81-4E45-B444-376A1AB9133F}" name="Coucher_Soleil36" dataDxfId="109"/>
    <tableColumn id="40" xr3:uid="{3C27A493-EB6E-4121-B2EA-D3616E54401C}" name="Longueur_Jour37" dataDxfId="108"/>
    <tableColumn id="41" xr3:uid="{E28B826A-F9FA-46C1-957A-56318CFDB163}" name="Lever_Soleil38" dataDxfId="107"/>
    <tableColumn id="42" xr3:uid="{CD6619A4-5D6E-42EC-8BF5-778AE1FA0419}" name="Coucher_Soleil39" dataDxfId="106"/>
    <tableColumn id="43" xr3:uid="{674B9529-739E-4699-8EB8-3983DCD4A69B}" name="Longueur_Jour40" dataDxfId="105"/>
    <tableColumn id="44" xr3:uid="{D2BF31B2-5194-4C09-A6E5-DC599B9DD9FA}" name="Lever_Soleil41" dataDxfId="104"/>
    <tableColumn id="45" xr3:uid="{390EB68E-B51F-409E-B973-52EFE8A58052}" name="Coucher_Soleil42" dataDxfId="103"/>
    <tableColumn id="46" xr3:uid="{0BB2159D-912D-4A8C-9F57-9F1AF5258BC3}" name="Longueur_Jour43" dataDxfId="102"/>
    <tableColumn id="47" xr3:uid="{A34014D4-6B46-4473-AD7D-71AC3E7E1AAC}" name="Lever_Soleil44" dataDxfId="101"/>
    <tableColumn id="48" xr3:uid="{353B3B0B-4888-44C9-AB7D-C814FDE2C382}" name="Coucher_Soleil45" dataDxfId="100"/>
    <tableColumn id="49" xr3:uid="{A803EBA7-2C27-4833-A2E0-D498983F4DB3}" name="Longueur_Jour46" dataDxfId="99"/>
    <tableColumn id="50" xr3:uid="{0D7B31C1-70C0-4F14-B551-9AA7B4C45C11}" name="Lever_Soleil47" dataDxfId="98"/>
    <tableColumn id="51" xr3:uid="{7534F9A6-E492-4FA2-AC7D-F0B5EFA6F3E0}" name="Coucher_Soleil48" dataDxfId="97"/>
    <tableColumn id="52" xr3:uid="{B0699C16-984C-4AFD-A9E2-8959CEA46395}" name="Longueur_Jour49" dataDxfId="96"/>
    <tableColumn id="53" xr3:uid="{1D1B302F-EBF7-4EB5-88E3-3E2902AEEBEC}" name="Lever_Soleil50" dataDxfId="95"/>
    <tableColumn id="54" xr3:uid="{F611842F-25D6-44EE-BBF0-4A9EAF813A1E}" name="Coucher_Soleil51" dataDxfId="94"/>
    <tableColumn id="55" xr3:uid="{B0AD4118-F66A-4D9D-BF9C-3914334C1B6F}" name="Longueur_Jour52" dataDxfId="93"/>
    <tableColumn id="56" xr3:uid="{F4E37C15-5776-4829-8C1E-639E72D8D90D}" name="Lever_Soleil53" dataDxfId="92"/>
    <tableColumn id="57" xr3:uid="{F535192C-39ED-446B-8810-5200DD69D5B8}" name="Coucher_Soleil54" dataDxfId="91"/>
    <tableColumn id="58" xr3:uid="{8EC134AC-C0A9-499F-82E4-91982CA4CF83}" name="Longueur_Jour55" dataDxfId="90"/>
    <tableColumn id="59" xr3:uid="{E3BF96FB-3D8D-4608-838C-2B50F93D225B}" name="Lever_Soleil56" dataDxfId="89"/>
    <tableColumn id="60" xr3:uid="{07D63E72-884B-4987-9FF9-0560CE690A37}" name="Coucher_Soleil57" dataDxfId="88"/>
    <tableColumn id="61" xr3:uid="{BC0E7700-998B-42EF-924C-5AF43BAEDD9B}" name="Longueur_Jour58" dataDxfId="87"/>
    <tableColumn id="62" xr3:uid="{034FB253-7667-481F-AF49-FF28D3C7264E}" name="Lever_Soleil59" dataDxfId="86"/>
    <tableColumn id="63" xr3:uid="{59F8E359-CC86-418B-B5B1-FDB2F0B79E19}" name="Coucher_Soleil60" dataDxfId="85"/>
    <tableColumn id="64" xr3:uid="{F8654494-A6EE-4154-9F62-77E62560FEEA}" name="Longueur_Jour61" dataDxfId="84"/>
    <tableColumn id="65" xr3:uid="{7592228E-DC71-4055-9449-586FF3F3056B}" name="Lever_Soleil62" dataDxfId="83"/>
    <tableColumn id="66" xr3:uid="{163FE6BB-A72A-458B-AF17-938921369B98}" name="Coucher_Soleil63" dataDxfId="82"/>
    <tableColumn id="67" xr3:uid="{6C2E6782-DE15-4DF0-91AE-D39FDD19EBC5}" name="Longueur_Jour64" dataDxfId="81"/>
    <tableColumn id="68" xr3:uid="{28332C4A-E8F2-490E-A5DF-34ED15079A05}" name="Lever_Soleil65" dataDxfId="80"/>
    <tableColumn id="69" xr3:uid="{D658A9D6-8D52-47DC-B3BC-520242F387BE}" name="Coucher_Soleil66" dataDxfId="79"/>
    <tableColumn id="70" xr3:uid="{2ABA3A55-5E8D-4977-8AF2-B959B32DA438}" name="Longueur_Jour67" dataDxfId="78"/>
    <tableColumn id="71" xr3:uid="{221D646E-DF09-4135-9EFB-C266D939DDAC}" name="Lever_Soleil68" dataDxfId="77"/>
    <tableColumn id="72" xr3:uid="{611A1859-7BA8-4475-AE66-BA16167927FE}" name="Coucher_Soleil69" dataDxfId="76"/>
    <tableColumn id="73" xr3:uid="{5AAB0682-589A-42BD-B039-271CC0E334F8}" name="Longueur_Jour70" dataDxfId="75"/>
    <tableColumn id="74" xr3:uid="{14F632C9-7BBD-4FA5-B694-51C3BF4EA22B}" name="Lever_Soleil71" dataDxfId="74"/>
    <tableColumn id="75" xr3:uid="{2460CB6F-3D88-4F8A-9E76-5F06ED0ED6D1}" name="Coucher_Soleil72" dataDxfId="73"/>
    <tableColumn id="76" xr3:uid="{44D547EF-12AB-4BDC-A806-FC5EAE93263E}" name="Longueur_Jour73" dataDxfId="72"/>
    <tableColumn id="77" xr3:uid="{D468D28C-AE77-4DAF-9F82-83E66C66A736}" name="Lever_Soleil74" dataDxfId="71"/>
    <tableColumn id="78" xr3:uid="{47F46D90-398B-405B-A47A-87ADCE34C0F0}" name="Coucher_Soleil75" dataDxfId="70"/>
    <tableColumn id="79" xr3:uid="{0C3B0E19-B6EF-4A4B-A2BC-5B2F1B47B6FA}" name="Longueur_Jour76" dataDxfId="69"/>
    <tableColumn id="80" xr3:uid="{DD600850-AA36-4010-BDBD-24015B9C0283}" name="Lever_Soleil77" dataDxfId="68"/>
    <tableColumn id="81" xr3:uid="{67C8D96A-B2B2-46EF-AE69-FA8262E77EB3}" name="Coucher_Soleil78" dataDxfId="67"/>
    <tableColumn id="82" xr3:uid="{B1D69E4A-A394-4882-A78B-246B4788AC63}" name="Longueur_Jour79" dataDxfId="66"/>
    <tableColumn id="83" xr3:uid="{3E967853-AD29-40BC-80E7-49A7B15A30F9}" name="Lever_Soleil80" dataDxfId="65"/>
    <tableColumn id="84" xr3:uid="{3B75F73E-9635-441C-9237-0FDE033D0935}" name="Coucher_Soleil81" dataDxfId="64"/>
    <tableColumn id="85" xr3:uid="{86A36B99-2199-4F83-B2B2-FA2A0D0BC0ED}" name="Longueur_Jour82" dataDxfId="63"/>
    <tableColumn id="86" xr3:uid="{1D600851-F1B0-4E2A-8962-1D4AE9F5D582}" name="Lever_Soleil83" dataDxfId="62"/>
    <tableColumn id="87" xr3:uid="{DAE739DA-C429-4B86-AE7B-A373A4015FC8}" name="Coucher_Soleil84" dataDxfId="61"/>
    <tableColumn id="88" xr3:uid="{E6493B05-821F-4AB6-A603-5A5105EBF4C9}" name="Longueur_Jour85" dataDxfId="60"/>
    <tableColumn id="89" xr3:uid="{8717FC51-67A2-4D45-B278-B59C187A0127}" name="Lever_Soleil86" dataDxfId="59"/>
    <tableColumn id="90" xr3:uid="{841A9DE1-F7C9-465E-ADD4-B4B8E33EAC1C}" name="Coucher_Soleil87" dataDxfId="58"/>
    <tableColumn id="91" xr3:uid="{FE1565DA-DFBE-469F-BF96-FCC33214BC7E}" name="Longueur_Jour88" dataDxfId="57"/>
    <tableColumn id="92" xr3:uid="{7548A1CA-2414-40CB-9C05-1E5C3FE6E149}" name="Lever_Soleil89" dataDxfId="56"/>
    <tableColumn id="93" xr3:uid="{D86F7CBA-52C1-49AC-B618-0961940262FC}" name="Coucher_Soleil90" dataDxfId="55"/>
    <tableColumn id="94" xr3:uid="{305E122D-617F-41B8-B2E4-67775E694F8C}" name="Longueur_Jour91" dataDxfId="54"/>
    <tableColumn id="95" xr3:uid="{D12E03BB-C9BE-4F95-A6D1-5CE83448E8DC}" name="Lever_Soleil92" dataDxfId="53"/>
    <tableColumn id="96" xr3:uid="{1126974C-B6EA-4203-9A88-3A48902AE452}" name="Coucher_Soleil93" dataDxfId="52"/>
    <tableColumn id="97" xr3:uid="{9A76B310-F58E-4B13-85E0-26CC87BB6E8E}" name="Longueur_Jour94" dataDxfId="51"/>
    <tableColumn id="98" xr3:uid="{109E8614-3008-4352-BD94-E8D7530DB752}" name="Lever_Soleil95" dataDxfId="50"/>
    <tableColumn id="99" xr3:uid="{40BDEB8C-6113-42D6-8462-2D4CEDA8C2F2}" name="Coucher_Soleil96" dataDxfId="49"/>
    <tableColumn id="100" xr3:uid="{713687C0-EA3F-4A11-AA2E-BF7737F6F489}" name="Longueur_Jour97" dataDxfId="48"/>
    <tableColumn id="101" xr3:uid="{9497B781-C6DE-4BFB-B5DA-C110CC9968FC}" name="Lever_Soleil98" dataDxfId="47"/>
    <tableColumn id="102" xr3:uid="{81072C27-04D8-4045-BC94-E464184075A8}" name="Coucher_Soleil99" dataDxfId="46"/>
    <tableColumn id="103" xr3:uid="{46726D47-6D48-4383-9C2E-EA0497316F43}" name="Longueur_Jour100" dataDxfId="45"/>
    <tableColumn id="104" xr3:uid="{A4EC3F6F-1EDB-41BA-9ADE-4BF1DEC8F827}" name="Lever_Soleil101" dataDxfId="44"/>
    <tableColumn id="105" xr3:uid="{8A53D297-A7DB-4F7B-A532-EF3ED44F0F5E}" name="Coucher_Soleil102" dataDxfId="43"/>
    <tableColumn id="106" xr3:uid="{D0A95AE4-2B8A-4784-9D0F-F235F66E961D}" name="Longueur_Jour103" dataDxfId="42"/>
    <tableColumn id="107" xr3:uid="{64BF8789-1C54-4683-AACC-50C0EA9F4DE6}" name="Lever_Soleil104" dataDxfId="41"/>
    <tableColumn id="108" xr3:uid="{CE9EA7EA-1ACD-49D3-85F0-26FEC57AE32D}" name="Coucher_Soleil105" dataDxfId="40"/>
    <tableColumn id="109" xr3:uid="{51795F52-F400-4623-8AB2-F4B231757BDE}" name="Longueur_Jour106" dataDxfId="39"/>
    <tableColumn id="110" xr3:uid="{A4225642-C08F-4010-9122-DE885A12E276}" name="Lever_Soleil107" dataDxfId="38"/>
    <tableColumn id="111" xr3:uid="{D4563C7D-CFD6-44D0-B45D-F79788416457}" name="Coucher_Soleil108" dataDxfId="37"/>
    <tableColumn id="112" xr3:uid="{04D9CB80-0635-4F8E-A2E4-4F1EAB676E56}" name="Longueur_Jour109" dataDxfId="36"/>
    <tableColumn id="113" xr3:uid="{7FB9646A-50A3-454F-A6FB-8D15D2EAF6AB}" name="Lever_Soleil110" dataDxfId="35"/>
    <tableColumn id="114" xr3:uid="{A369DF87-C440-4EFF-86DE-EF4483AF4BBC}" name="Coucher_Soleil111" dataDxfId="34"/>
    <tableColumn id="115" xr3:uid="{1C43BBAC-0818-42D5-88B7-3DEF1D020FFF}" name="Longueur_Jour112" dataDxfId="33"/>
    <tableColumn id="116" xr3:uid="{8A6CA033-34F7-4753-AF05-56E883C0E553}" name="Lever_Soleil113" dataDxfId="32"/>
    <tableColumn id="117" xr3:uid="{2DEEAC6E-AFC8-4085-9BBD-D4DC596498EB}" name="Coucher_Soleil114" dataDxfId="31"/>
    <tableColumn id="118" xr3:uid="{CFB47D00-1994-49C3-B9C4-666F47950F8F}" name="Longueur_Jour115" dataDxfId="30"/>
    <tableColumn id="119" xr3:uid="{DEBFCD6D-9546-4913-A388-DCAD567E8961}" name="Lever_Soleil116" dataDxfId="29"/>
    <tableColumn id="120" xr3:uid="{9CF51584-6E79-4F46-8B65-65927FEC6880}" name="Coucher_Soleil117" dataDxfId="28"/>
    <tableColumn id="121" xr3:uid="{5504022A-38C7-4168-9F31-08C9CB38B8A1}" name="Longueur_Jour118" dataDxfId="27"/>
    <tableColumn id="122" xr3:uid="{8DF89C49-97BA-4350-A649-9CAB0E7407A3}" name="Lever_Soleil119" dataDxfId="26"/>
    <tableColumn id="123" xr3:uid="{78D3E576-8906-4267-93F1-97640EC82043}" name="Coucher_Soleil120" dataDxfId="25"/>
    <tableColumn id="124" xr3:uid="{03CF89CD-E19F-4A58-9B26-9C430EEC8667}" name="Longueur_Jour121" dataDxfId="24"/>
    <tableColumn id="125" xr3:uid="{95A762DA-80E1-495F-8A61-5ABD6F8FD35B}" name="Lever_Soleil122" dataDxfId="23"/>
    <tableColumn id="126" xr3:uid="{EAEE29DF-3C3A-4933-9E38-B14768C217FE}" name="Coucher_Soleil123" dataDxfId="22"/>
    <tableColumn id="127" xr3:uid="{04BEE36E-846F-4F05-A5D3-889FE08C9C1D}" name="Longueur_Jour124" dataDxfId="21"/>
    <tableColumn id="128" xr3:uid="{5CF6F632-DAAD-4392-AE81-F8C0011CC253}" name="Lever_Soleil125" dataDxfId="20"/>
    <tableColumn id="129" xr3:uid="{7D993AE8-7601-4E56-9F70-9FB80BFA871B}" name="Coucher_Soleil126" dataDxfId="19"/>
    <tableColumn id="130" xr3:uid="{EDDAD16D-6E52-426E-BD53-2909E9790522}" name="Longueur_Jour127" dataDxfId="18"/>
    <tableColumn id="131" xr3:uid="{AEDD9952-0B01-4A24-81D6-BC6E55F71E21}" name="Lever_Soleil128" dataDxfId="17"/>
    <tableColumn id="132" xr3:uid="{1893B028-0233-4DBA-91E4-7BBC68ECA2C8}" name="Coucher_Soleil129" dataDxfId="16"/>
    <tableColumn id="133" xr3:uid="{A5F15D83-BF7A-4FB4-8469-D1715399CDAC}" name="Longueur_Jour130" dataDxfId="15"/>
    <tableColumn id="134" xr3:uid="{CFF91847-499D-452A-A1DD-CF8E5B4D7396}" name="Lever_Soleil131" dataDxfId="14"/>
    <tableColumn id="135" xr3:uid="{1616D104-6906-4CBD-871D-C2FD8D5EBA24}" name="Coucher_Soleil132" dataDxfId="13"/>
    <tableColumn id="136" xr3:uid="{14E1B856-F745-4197-9A16-D843872DEFB6}" name="Longueur_Jour133" dataDxfId="12"/>
    <tableColumn id="137" xr3:uid="{8661C4DF-AC4C-4CC5-AB8C-D3D251AEAA03}" name="Lever_Soleil134" dataDxfId="11"/>
    <tableColumn id="138" xr3:uid="{0E1FC00D-08B3-4575-B11C-9C156DF87F11}" name="Coucher_Soleil135" dataDxfId="10"/>
    <tableColumn id="139" xr3:uid="{5EA9585F-DF99-4609-8C21-2E854805657E}" name="Longueur_Jour136" dataDxfId="9"/>
    <tableColumn id="140" xr3:uid="{854D05F6-E688-44E4-96E8-6D64A7021C0F}" name="Lever_Soleil137" dataDxfId="8"/>
    <tableColumn id="141" xr3:uid="{6321BD28-C051-4442-AEB2-00C8A4F82707}" name="Coucher_Soleil138" dataDxfId="7"/>
    <tableColumn id="142" xr3:uid="{3ACB72A1-B769-466C-A9DB-5099074169E4}" name="Longueur_Jour139" dataDxfId="6"/>
    <tableColumn id="143" xr3:uid="{82747BD2-6B27-46D6-8E10-7326FD168E35}" name="Lever_Soleil140" dataDxfId="5"/>
    <tableColumn id="144" xr3:uid="{73C85488-C70D-40F6-BA86-3076BFD81E98}" name="Coucher_Soleil141" dataDxfId="4"/>
    <tableColumn id="145" xr3:uid="{72C5C2BB-F1AB-43C0-83ED-45E260549E30}" name="Longueur_Jour142" dataDxfId="3"/>
    <tableColumn id="146" xr3:uid="{186A6FEE-C8E6-4BF3-BBC9-0C256C9CE462}" name="Lever_Soleil143" dataDxfId="2"/>
    <tableColumn id="147" xr3:uid="{679C7067-08B8-47EF-9B36-10D4CE4AB26C}" name="Coucher_Soleil144" dataDxfId="1"/>
    <tableColumn id="148" xr3:uid="{240DD0A1-E4AC-4531-95B6-8D9517CE0737}" name="Longueur_Jour14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"/>
  <sheetViews>
    <sheetView tabSelected="1" zoomScale="70" zoomScaleNormal="70" workbookViewId="0">
      <selection activeCell="K1" sqref="K1:K1048576"/>
    </sheetView>
  </sheetViews>
  <sheetFormatPr baseColWidth="10" defaultColWidth="8.88671875" defaultRowHeight="14.4" x14ac:dyDescent="0.3"/>
  <cols>
    <col min="1" max="1" width="8.33203125" customWidth="1"/>
    <col min="2" max="2" width="16.77734375" customWidth="1"/>
    <col min="4" max="4" width="14.5546875" customWidth="1"/>
    <col min="5" max="5" width="13.44140625" customWidth="1"/>
    <col min="6" max="8" width="10.5546875" customWidth="1"/>
    <col min="9" max="9" width="9.6640625" customWidth="1"/>
    <col min="10" max="11" width="11" customWidth="1"/>
    <col min="12" max="13" width="11.109375" customWidth="1"/>
    <col min="15" max="18" width="9.5546875" customWidth="1"/>
    <col min="19" max="20" width="15.21875" style="33" customWidth="1"/>
    <col min="21" max="22" width="13.21875" style="33" customWidth="1"/>
    <col min="23" max="25" width="14.21875" customWidth="1"/>
    <col min="26" max="28" width="20.33203125" customWidth="1"/>
    <col min="30" max="30" width="16.6640625" customWidth="1"/>
    <col min="31" max="34" width="16.6640625" style="39" customWidth="1"/>
    <col min="38" max="39" width="8.88671875" customWidth="1"/>
    <col min="42" max="42" width="19.33203125" customWidth="1"/>
  </cols>
  <sheetData>
    <row r="1" spans="1:42" x14ac:dyDescent="0.3">
      <c r="A1" t="s">
        <v>52</v>
      </c>
      <c r="B1" t="s">
        <v>14</v>
      </c>
      <c r="C1" t="s">
        <v>7</v>
      </c>
      <c r="D1" t="s">
        <v>8</v>
      </c>
      <c r="E1" t="s">
        <v>9</v>
      </c>
      <c r="F1" t="s">
        <v>504</v>
      </c>
      <c r="G1" t="s">
        <v>505</v>
      </c>
      <c r="H1" t="s">
        <v>506</v>
      </c>
      <c r="I1" t="s">
        <v>10</v>
      </c>
      <c r="J1" t="s">
        <v>11</v>
      </c>
      <c r="K1" t="s">
        <v>695</v>
      </c>
      <c r="L1" t="s">
        <v>51</v>
      </c>
      <c r="M1" t="s">
        <v>315</v>
      </c>
      <c r="N1" t="s">
        <v>5</v>
      </c>
      <c r="O1" t="s">
        <v>6</v>
      </c>
      <c r="P1" t="s">
        <v>578</v>
      </c>
      <c r="Q1" t="s">
        <v>662</v>
      </c>
      <c r="R1" t="s">
        <v>661</v>
      </c>
      <c r="S1" s="33" t="s">
        <v>682</v>
      </c>
      <c r="T1" s="33" t="s">
        <v>683</v>
      </c>
      <c r="U1" s="33" t="s">
        <v>684</v>
      </c>
      <c r="V1" s="33" t="s">
        <v>685</v>
      </c>
      <c r="W1" t="s">
        <v>686</v>
      </c>
      <c r="X1" t="s">
        <v>584</v>
      </c>
      <c r="Y1" t="s">
        <v>585</v>
      </c>
      <c r="Z1" t="s">
        <v>687</v>
      </c>
      <c r="AA1" t="s">
        <v>688</v>
      </c>
      <c r="AB1" t="s">
        <v>689</v>
      </c>
      <c r="AC1" t="s">
        <v>690</v>
      </c>
      <c r="AD1" t="s">
        <v>50</v>
      </c>
      <c r="AE1" s="39" t="s">
        <v>691</v>
      </c>
      <c r="AF1" s="39" t="s">
        <v>692</v>
      </c>
      <c r="AG1" s="39" t="s">
        <v>693</v>
      </c>
      <c r="AH1" s="39" t="s">
        <v>694</v>
      </c>
      <c r="AI1" t="s">
        <v>13</v>
      </c>
      <c r="AJ1" t="s">
        <v>305</v>
      </c>
      <c r="AK1" t="s">
        <v>678</v>
      </c>
      <c r="AL1" t="s">
        <v>679</v>
      </c>
      <c r="AM1" t="s">
        <v>681</v>
      </c>
      <c r="AN1" t="s">
        <v>593</v>
      </c>
      <c r="AO1" t="s">
        <v>654</v>
      </c>
      <c r="AP1" t="s">
        <v>90</v>
      </c>
    </row>
    <row r="2" spans="1:42" x14ac:dyDescent="0.3">
      <c r="A2" t="s">
        <v>56</v>
      </c>
      <c r="B2" t="s">
        <v>53</v>
      </c>
      <c r="C2" t="s">
        <v>15</v>
      </c>
      <c r="D2" s="1">
        <v>45349</v>
      </c>
      <c r="E2" s="1">
        <v>45354</v>
      </c>
      <c r="F2" s="17">
        <f>AVERAGE(Soleil!$B$5:$B$10)</f>
        <v>0.24780092592592592</v>
      </c>
      <c r="G2" s="17">
        <f>AVERAGE(Soleil!$C$5:$C$10)</f>
        <v>0.76435185185185184</v>
      </c>
      <c r="H2" s="17">
        <f>AVERAGE(Soleil!$D$5:$D$10)</f>
        <v>0.51631944444444444</v>
      </c>
      <c r="I2" s="2" t="s">
        <v>54</v>
      </c>
      <c r="J2" s="2" t="s">
        <v>55</v>
      </c>
      <c r="K2" s="2">
        <v>5</v>
      </c>
      <c r="L2" t="s">
        <v>228</v>
      </c>
      <c r="M2" t="s">
        <v>313</v>
      </c>
      <c r="N2" t="s">
        <v>3</v>
      </c>
      <c r="O2" t="s">
        <v>4</v>
      </c>
      <c r="P2" t="s">
        <v>311</v>
      </c>
      <c r="Q2" t="s">
        <v>340</v>
      </c>
      <c r="R2" t="s">
        <v>340</v>
      </c>
      <c r="S2" s="33">
        <f>AVERAGE(Précipitation!B5:B10)</f>
        <v>2.7833333333333328</v>
      </c>
      <c r="T2" s="33">
        <f>MAX(Précipitation!B5:B10)</f>
        <v>9.5</v>
      </c>
      <c r="U2" s="33">
        <f>AVERAGE(Température!B5:B10)</f>
        <v>24.633333333333336</v>
      </c>
      <c r="V2" s="33">
        <f>AVERAGE(Température!C5:C10)</f>
        <v>31.899999999999995</v>
      </c>
      <c r="W2">
        <v>271.39999999999998</v>
      </c>
      <c r="X2" t="s">
        <v>356</v>
      </c>
      <c r="Y2" t="s">
        <v>508</v>
      </c>
      <c r="Z2">
        <v>112</v>
      </c>
      <c r="AA2">
        <v>46.7</v>
      </c>
      <c r="AB2">
        <v>10.9</v>
      </c>
      <c r="AC2" s="3">
        <f t="shared" ref="AC2:AC34" si="0">(AD2/31416)</f>
        <v>0.39477654698242931</v>
      </c>
      <c r="AD2">
        <f>11098+63.3+63.4+230+912+23+12.6</f>
        <v>12402.3</v>
      </c>
      <c r="AE2" s="39">
        <v>0</v>
      </c>
      <c r="AF2" s="39">
        <v>0</v>
      </c>
      <c r="AG2" s="39">
        <v>40</v>
      </c>
      <c r="AH2" s="39">
        <v>60</v>
      </c>
      <c r="AI2">
        <f>Feuil2!J3/Feuil2!K3</f>
        <v>0</v>
      </c>
      <c r="AJ2">
        <f>Feuil2!J3+Feuil2!K3</f>
        <v>5</v>
      </c>
      <c r="AK2" s="2">
        <f>IF(COUNTIF(Feuil2!B3:B7,"Acridotheres tristis"),1,0)</f>
        <v>1</v>
      </c>
      <c r="AL2" s="2">
        <f>IF(COUNTIF(Feuil2!C3:C7,"Natif"),1,0)</f>
        <v>0</v>
      </c>
      <c r="AM2" s="2">
        <f>Feuil2!K3</f>
        <v>5</v>
      </c>
      <c r="AN2">
        <v>325</v>
      </c>
      <c r="AO2">
        <v>58</v>
      </c>
    </row>
    <row r="3" spans="1:42" x14ac:dyDescent="0.3">
      <c r="A3" t="s">
        <v>570</v>
      </c>
      <c r="B3" t="s">
        <v>516</v>
      </c>
      <c r="C3" t="s">
        <v>573</v>
      </c>
      <c r="D3" s="1">
        <v>45349</v>
      </c>
      <c r="E3" s="1">
        <v>45354</v>
      </c>
      <c r="F3" s="17">
        <f>AVERAGE(Soleil!$B$5:$B$10)</f>
        <v>0.24780092592592592</v>
      </c>
      <c r="G3" s="17">
        <f>AVERAGE(Soleil!$C$5:$C$10)</f>
        <v>0.76435185185185184</v>
      </c>
      <c r="H3" s="17">
        <f>AVERAGE(Soleil!$D$5:$D$10)</f>
        <v>0.51631944444444444</v>
      </c>
      <c r="I3" s="2" t="s">
        <v>572</v>
      </c>
      <c r="J3" s="2" t="s">
        <v>571</v>
      </c>
      <c r="K3" s="2">
        <v>7</v>
      </c>
      <c r="L3" t="s">
        <v>228</v>
      </c>
      <c r="M3" t="s">
        <v>313</v>
      </c>
      <c r="N3" t="s">
        <v>3</v>
      </c>
      <c r="O3" t="s">
        <v>4</v>
      </c>
      <c r="P3" t="s">
        <v>311</v>
      </c>
      <c r="Q3" t="s">
        <v>340</v>
      </c>
      <c r="R3" t="s">
        <v>340</v>
      </c>
      <c r="S3" s="33">
        <f>AVERAGE(Précipitation!B5:B10)</f>
        <v>2.7833333333333328</v>
      </c>
      <c r="T3" s="33">
        <f>MAX(Précipitation!B5:B10)</f>
        <v>9.5</v>
      </c>
      <c r="U3" s="33">
        <f>AVERAGE(Température!B5:B10)</f>
        <v>24.633333333333336</v>
      </c>
      <c r="V3" s="33">
        <f>AVERAGE(Température!C5:C10)</f>
        <v>31.899999999999995</v>
      </c>
      <c r="W3">
        <v>272.3</v>
      </c>
      <c r="X3" t="s">
        <v>356</v>
      </c>
      <c r="Y3" t="s">
        <v>508</v>
      </c>
      <c r="Z3">
        <v>27.9</v>
      </c>
      <c r="AA3">
        <v>132</v>
      </c>
      <c r="AB3">
        <v>28.2</v>
      </c>
      <c r="AC3" s="3">
        <f t="shared" si="0"/>
        <v>0.34924560733384269</v>
      </c>
      <c r="AD3">
        <f>10209+572+45.7+13.5+51+80.7</f>
        <v>10971.900000000001</v>
      </c>
      <c r="AE3" s="39">
        <v>0</v>
      </c>
      <c r="AF3" s="39">
        <v>0</v>
      </c>
      <c r="AG3" s="39">
        <v>70</v>
      </c>
      <c r="AH3" s="39">
        <v>20</v>
      </c>
      <c r="AI3">
        <f>Feuil2!J53/Feuil2!K53</f>
        <v>0</v>
      </c>
      <c r="AJ3">
        <f>Feuil2!J53+Feuil2!K53</f>
        <v>5</v>
      </c>
      <c r="AK3" s="2">
        <f>IF(COUNTIF(Feuil2!B337:B341,"Acridotheres tristis"),1,0)</f>
        <v>1</v>
      </c>
      <c r="AL3" s="2">
        <f>IF(COUNTIF(Feuil2!C337:C341,"Natif"),1,0)</f>
        <v>0</v>
      </c>
      <c r="AM3" s="2">
        <f>Feuil2!K53</f>
        <v>5</v>
      </c>
      <c r="AN3">
        <v>340</v>
      </c>
      <c r="AO3">
        <v>58</v>
      </c>
    </row>
    <row r="4" spans="1:42" x14ac:dyDescent="0.3">
      <c r="A4" s="2" t="s">
        <v>57</v>
      </c>
      <c r="B4" t="s">
        <v>0</v>
      </c>
      <c r="C4" t="s">
        <v>15</v>
      </c>
      <c r="D4" s="1">
        <v>45394</v>
      </c>
      <c r="E4" s="1">
        <v>45399</v>
      </c>
      <c r="F4" s="17">
        <f>AVERAGE(Soleil!$E$5:$E$10)</f>
        <v>0.25555555555555554</v>
      </c>
      <c r="G4" s="17">
        <f>AVERAGE(Soleil!$F$5:$F$10)</f>
        <v>0.74120370370370381</v>
      </c>
      <c r="H4" s="17">
        <f>AVERAGE(Soleil!$G$5:$G$10)</f>
        <v>0.4850694444444445</v>
      </c>
      <c r="I4" s="2" t="s">
        <v>1</v>
      </c>
      <c r="J4" s="2" t="s">
        <v>2</v>
      </c>
      <c r="K4" s="2">
        <v>11</v>
      </c>
      <c r="L4" s="2" t="s">
        <v>343</v>
      </c>
      <c r="M4" s="2" t="s">
        <v>314</v>
      </c>
      <c r="N4" t="s">
        <v>3</v>
      </c>
      <c r="O4" t="s">
        <v>4</v>
      </c>
      <c r="P4" t="s">
        <v>311</v>
      </c>
      <c r="Q4" t="s">
        <v>676</v>
      </c>
      <c r="R4" t="s">
        <v>335</v>
      </c>
      <c r="S4" s="33">
        <f>AVERAGE(Précipitation!C5:C10,Précipitation!C12:C17)</f>
        <v>3.3333333333333333E-2</v>
      </c>
      <c r="T4" s="33">
        <f>MAX(Précipitation!C5:C10,Précipitation!C12:C17)</f>
        <v>0.4</v>
      </c>
      <c r="U4" s="33">
        <f>AVERAGE(Température!D5:D10)</f>
        <v>25.183333333333337</v>
      </c>
      <c r="V4" s="33">
        <f>AVERAGE(Température!E5:E10)</f>
        <v>30.316666666666666</v>
      </c>
      <c r="W4">
        <v>231.2</v>
      </c>
      <c r="X4" t="s">
        <v>357</v>
      </c>
      <c r="Y4" t="s">
        <v>508</v>
      </c>
      <c r="Z4">
        <v>70</v>
      </c>
      <c r="AA4">
        <v>125</v>
      </c>
      <c r="AB4">
        <v>12.5</v>
      </c>
      <c r="AC4" s="3">
        <f t="shared" si="0"/>
        <v>0.31381143366437486</v>
      </c>
      <c r="AD4">
        <f>2747+210+124+305+124+55.5+183+137+190+755+670+226+31.7+141+158+21.4+173+131+56.3+337+300+165+218+13.8+213+1663+179+127+204</f>
        <v>9858.7000000000007</v>
      </c>
      <c r="AE4" s="39">
        <v>20</v>
      </c>
      <c r="AF4" s="39">
        <v>10</v>
      </c>
      <c r="AG4" s="39">
        <v>60</v>
      </c>
      <c r="AH4" s="39">
        <v>40</v>
      </c>
      <c r="AI4">
        <f>Feuil2!J4/Feuil2!K4</f>
        <v>0</v>
      </c>
      <c r="AJ4">
        <f>Feuil2!J4+Feuil2!K4</f>
        <v>7</v>
      </c>
      <c r="AK4" s="2">
        <f>IF(COUNTIF(Feuil2!B8:B14,"Acridotheres tristis"),1,0)</f>
        <v>1</v>
      </c>
      <c r="AL4" s="2">
        <f>IF(COUNTIF(Feuil2!C8:C14,"Natif"),1,0)</f>
        <v>0</v>
      </c>
      <c r="AM4" s="2">
        <f>Feuil2!K4</f>
        <v>7</v>
      </c>
      <c r="AN4">
        <v>350</v>
      </c>
      <c r="AO4">
        <v>103</v>
      </c>
    </row>
    <row r="5" spans="1:42" x14ac:dyDescent="0.3">
      <c r="A5" t="s">
        <v>67</v>
      </c>
      <c r="B5" t="s">
        <v>68</v>
      </c>
      <c r="C5" t="s">
        <v>37</v>
      </c>
      <c r="D5" s="1">
        <v>45394</v>
      </c>
      <c r="E5" s="1">
        <v>45399</v>
      </c>
      <c r="F5" s="17">
        <f>AVERAGE(Soleil!$H$5:$H$10)</f>
        <v>0.25555555555555554</v>
      </c>
      <c r="G5" s="17">
        <f>AVERAGE(Soleil!$I$5:$I$10)</f>
        <v>0.74120370370370381</v>
      </c>
      <c r="H5" s="17">
        <f>AVERAGE(Soleil!$J$5:$J$10)</f>
        <v>0.4850694444444445</v>
      </c>
      <c r="I5" s="2" t="s">
        <v>69</v>
      </c>
      <c r="J5" s="2" t="s">
        <v>70</v>
      </c>
      <c r="K5" s="2">
        <v>4</v>
      </c>
      <c r="L5" s="2" t="s">
        <v>343</v>
      </c>
      <c r="M5" s="2" t="s">
        <v>314</v>
      </c>
      <c r="N5" t="s">
        <v>3</v>
      </c>
      <c r="O5" t="s">
        <v>4</v>
      </c>
      <c r="P5" t="s">
        <v>311</v>
      </c>
      <c r="Q5" t="s">
        <v>676</v>
      </c>
      <c r="R5" t="s">
        <v>335</v>
      </c>
      <c r="S5" s="33">
        <f>AVERAGE(Précipitation!D5:D10,Précipitation!D12:D17)</f>
        <v>3.3333333333333333E-2</v>
      </c>
      <c r="T5" s="33">
        <f>MAX(Précipitation!D5:D10,Précipitation!D12:D17)</f>
        <v>0.4</v>
      </c>
      <c r="U5" s="33">
        <f>AVERAGE(Température!F5:F10)</f>
        <v>25.183333333333337</v>
      </c>
      <c r="V5" s="33">
        <f>AVERAGE(Température!G5:G10)</f>
        <v>30.316666666666666</v>
      </c>
      <c r="W5">
        <v>230.8</v>
      </c>
      <c r="X5" t="s">
        <v>357</v>
      </c>
      <c r="Y5" t="s">
        <v>508</v>
      </c>
      <c r="Z5">
        <v>59.2</v>
      </c>
      <c r="AA5">
        <v>3.74</v>
      </c>
      <c r="AB5">
        <v>26.3</v>
      </c>
      <c r="AC5" s="3">
        <f t="shared" si="0"/>
        <v>0.10314171122994652</v>
      </c>
      <c r="AD5">
        <f>143+42+60.6+968+122+1672+62.7+170</f>
        <v>3240.2999999999997</v>
      </c>
      <c r="AE5" s="39">
        <v>10</v>
      </c>
      <c r="AF5" s="39">
        <v>0</v>
      </c>
      <c r="AG5" s="39">
        <v>80</v>
      </c>
      <c r="AH5" s="39">
        <v>20</v>
      </c>
      <c r="AI5">
        <f>Feuil2!J5/Feuil2!K5</f>
        <v>0</v>
      </c>
      <c r="AJ5">
        <f>Feuil2!J5+Feuil2!K5</f>
        <v>8</v>
      </c>
      <c r="AK5" s="2">
        <f>IF(COUNTIF(Feuil2!B15:B22,"Acridotheres tristis"),1,0)</f>
        <v>1</v>
      </c>
      <c r="AL5" s="2">
        <f>IF(COUNTIF(Feuil2!C15:C22,"Natif"),1,0)</f>
        <v>0</v>
      </c>
      <c r="AM5" s="2">
        <f>Feuil2!K5</f>
        <v>8</v>
      </c>
      <c r="AN5">
        <v>360</v>
      </c>
      <c r="AO5">
        <v>103</v>
      </c>
    </row>
    <row r="6" spans="1:42" x14ac:dyDescent="0.3">
      <c r="A6" t="s">
        <v>71</v>
      </c>
      <c r="B6" t="s">
        <v>72</v>
      </c>
      <c r="C6" t="s">
        <v>17</v>
      </c>
      <c r="D6" s="1">
        <v>45394</v>
      </c>
      <c r="E6" s="1">
        <v>45399</v>
      </c>
      <c r="F6" s="17">
        <f>AVERAGE(Soleil!$K$5:$K$10)</f>
        <v>0.25555555555555554</v>
      </c>
      <c r="G6" s="17">
        <f>AVERAGE(Soleil!$L$5:$L$10)</f>
        <v>0.74120370370370381</v>
      </c>
      <c r="H6" s="17">
        <f>AVERAGE(Soleil!$M$5:$M$10)</f>
        <v>0.4850694444444445</v>
      </c>
      <c r="I6" s="2" t="s">
        <v>73</v>
      </c>
      <c r="J6" s="2" t="s">
        <v>74</v>
      </c>
      <c r="K6" s="2">
        <v>18</v>
      </c>
      <c r="L6" s="2" t="s">
        <v>343</v>
      </c>
      <c r="M6" s="2" t="s">
        <v>314</v>
      </c>
      <c r="N6" t="s">
        <v>3</v>
      </c>
      <c r="O6" t="s">
        <v>4</v>
      </c>
      <c r="P6" t="s">
        <v>311</v>
      </c>
      <c r="Q6" t="s">
        <v>676</v>
      </c>
      <c r="R6" t="s">
        <v>335</v>
      </c>
      <c r="S6" s="33">
        <f>AVERAGE(Précipitation!E5:E10,Précipitation!E12:E17)</f>
        <v>3.3333333333333333E-2</v>
      </c>
      <c r="T6" s="33">
        <f>MAX(Précipitation!E5:E10,Précipitation!E12:E17)</f>
        <v>0.4</v>
      </c>
      <c r="U6" s="33">
        <f>AVERAGE(Température!H5:H10)</f>
        <v>25.183333333333337</v>
      </c>
      <c r="V6" s="33">
        <f>AVERAGE(Température!I5:I10)</f>
        <v>30.316666666666666</v>
      </c>
      <c r="W6">
        <v>230.9</v>
      </c>
      <c r="X6" t="s">
        <v>357</v>
      </c>
      <c r="Y6" t="s">
        <v>508</v>
      </c>
      <c r="Z6">
        <v>106</v>
      </c>
      <c r="AA6">
        <v>125</v>
      </c>
      <c r="AB6">
        <v>12.4</v>
      </c>
      <c r="AC6" s="3">
        <f t="shared" si="0"/>
        <v>0.14001114081996435</v>
      </c>
      <c r="AD6">
        <f>300+45+12.4+2787+37+672+42.3+21.4+64.8+60.7+347+8.99</f>
        <v>4398.59</v>
      </c>
      <c r="AE6" s="39">
        <v>0</v>
      </c>
      <c r="AF6" s="39">
        <v>10</v>
      </c>
      <c r="AG6" s="39">
        <v>80</v>
      </c>
      <c r="AH6" s="39">
        <v>20</v>
      </c>
      <c r="AI6">
        <f>Feuil2!J6/Feuil2!K6</f>
        <v>0</v>
      </c>
      <c r="AJ6">
        <f>Feuil2!J6+Feuil2!K6</f>
        <v>6</v>
      </c>
      <c r="AK6" s="2">
        <f>IF(COUNTIF(Feuil2!B23:B28,"Acridotheres tristis"),1,0)</f>
        <v>1</v>
      </c>
      <c r="AL6" s="2">
        <f>IF(COUNTIF(Feuil2!C23:C28,"Natif"),1,0)</f>
        <v>0</v>
      </c>
      <c r="AM6" s="2">
        <f>Feuil2!K6</f>
        <v>6</v>
      </c>
      <c r="AN6">
        <v>330</v>
      </c>
      <c r="AO6">
        <v>103</v>
      </c>
      <c r="AP6" t="s">
        <v>268</v>
      </c>
    </row>
    <row r="7" spans="1:42" x14ac:dyDescent="0.3">
      <c r="A7" t="s">
        <v>58</v>
      </c>
      <c r="B7" t="s">
        <v>16</v>
      </c>
      <c r="C7" t="s">
        <v>17</v>
      </c>
      <c r="D7" s="1">
        <v>45379</v>
      </c>
      <c r="E7" s="1">
        <v>45384</v>
      </c>
      <c r="F7" s="17">
        <f>AVERAGE(Soleil!$N$5:$N$10)</f>
        <v>0.25335648148148149</v>
      </c>
      <c r="G7" s="17">
        <f>AVERAGE(Soleil!$O$5:$O$10)</f>
        <v>0.74884259259259256</v>
      </c>
      <c r="H7" s="17">
        <f>AVERAGE(Soleil!$P$5:$P$10)</f>
        <v>0.49548611111111113</v>
      </c>
      <c r="I7" s="2" t="s">
        <v>18</v>
      </c>
      <c r="J7" s="2" t="s">
        <v>19</v>
      </c>
      <c r="K7" s="2">
        <v>24</v>
      </c>
      <c r="L7" t="s">
        <v>230</v>
      </c>
      <c r="M7" s="2" t="s">
        <v>314</v>
      </c>
      <c r="N7" t="s">
        <v>3</v>
      </c>
      <c r="O7" t="s">
        <v>4</v>
      </c>
      <c r="P7" t="s">
        <v>310</v>
      </c>
      <c r="Q7" t="s">
        <v>674</v>
      </c>
      <c r="R7" t="s">
        <v>336</v>
      </c>
      <c r="S7" s="33">
        <f>AVERAGE(Précipitation!F5:F10,Précipitation!F12:F17,Précipitation!F19:F24)</f>
        <v>3.9166666666666665</v>
      </c>
      <c r="T7" s="33">
        <f>MAX(Précipitation!F5:F10,Précipitation!F12:F17,Précipitation!F19:F24)</f>
        <v>24.6</v>
      </c>
      <c r="U7" s="33">
        <f>AVERAGE(Température!J5:J10)</f>
        <v>24.25</v>
      </c>
      <c r="V7" s="33">
        <f>AVERAGE(Température!K5:K10)</f>
        <v>31.266666666666669</v>
      </c>
      <c r="W7">
        <v>155.5</v>
      </c>
      <c r="X7" t="s">
        <v>354</v>
      </c>
      <c r="Y7" t="s">
        <v>508</v>
      </c>
      <c r="Z7">
        <v>45.2</v>
      </c>
      <c r="AA7">
        <v>62.5</v>
      </c>
      <c r="AB7">
        <v>71.400000000000006</v>
      </c>
      <c r="AC7" s="3">
        <f t="shared" si="0"/>
        <v>7.300738477209065E-2</v>
      </c>
      <c r="AD7">
        <f>2165+102+26.6</f>
        <v>2293.6</v>
      </c>
      <c r="AE7" s="39">
        <v>50</v>
      </c>
      <c r="AF7" s="39">
        <v>30</v>
      </c>
      <c r="AG7" s="39">
        <v>60</v>
      </c>
      <c r="AH7" s="39">
        <v>20</v>
      </c>
      <c r="AI7">
        <f>Feuil2!J7/Feuil2!K7</f>
        <v>0.16666666666666666</v>
      </c>
      <c r="AJ7">
        <f>Feuil2!J7+Feuil2!K7</f>
        <v>7</v>
      </c>
      <c r="AK7" s="2">
        <f>IF(COUNTIF(Feuil2!B29:B35,"Acridotheres tristis"),1,0)</f>
        <v>1</v>
      </c>
      <c r="AL7" s="2">
        <f>IF(COUNTIF(Feuil2!C29:C35,"Natif"),1,0)</f>
        <v>1</v>
      </c>
      <c r="AM7" s="2">
        <f>Feuil2!K7</f>
        <v>6</v>
      </c>
      <c r="AN7">
        <v>370</v>
      </c>
      <c r="AO7">
        <v>88</v>
      </c>
    </row>
    <row r="8" spans="1:42" x14ac:dyDescent="0.3">
      <c r="A8" t="s">
        <v>75</v>
      </c>
      <c r="B8" t="s">
        <v>76</v>
      </c>
      <c r="C8" t="s">
        <v>15</v>
      </c>
      <c r="D8" s="1">
        <v>45379</v>
      </c>
      <c r="E8" s="1">
        <v>45384</v>
      </c>
      <c r="F8" s="17">
        <f>AVERAGE(Soleil!$Q$5:$Q$10)</f>
        <v>0.25335648148148149</v>
      </c>
      <c r="G8" s="17">
        <f>AVERAGE(Soleil!$R$5:$R$10)</f>
        <v>0.74884259259259256</v>
      </c>
      <c r="H8" s="17">
        <f>AVERAGE(Soleil!$S$5:$S$10)</f>
        <v>0.49548611111111113</v>
      </c>
      <c r="I8" s="2" t="s">
        <v>77</v>
      </c>
      <c r="J8" s="2" t="s">
        <v>78</v>
      </c>
      <c r="K8" s="2">
        <v>107</v>
      </c>
      <c r="L8" t="s">
        <v>230</v>
      </c>
      <c r="M8" s="2" t="s">
        <v>314</v>
      </c>
      <c r="N8" t="s">
        <v>3</v>
      </c>
      <c r="O8" t="s">
        <v>4</v>
      </c>
      <c r="P8" t="s">
        <v>310</v>
      </c>
      <c r="Q8" t="s">
        <v>674</v>
      </c>
      <c r="R8" t="s">
        <v>336</v>
      </c>
      <c r="S8" s="33">
        <f>AVERAGE(Précipitation!G5:G10,Précipitation!G12:G17,Précipitation!G19:G24)</f>
        <v>3.9166666666666665</v>
      </c>
      <c r="T8" s="33">
        <f>MAX(Précipitation!G5:G10,Précipitation!G12:G17,Précipitation!G19:G24)</f>
        <v>24.6</v>
      </c>
      <c r="U8" s="33">
        <f>AVERAGE(Température!L5:L10)</f>
        <v>24.25</v>
      </c>
      <c r="V8" s="33">
        <f>AVERAGE(Température!M5:M10)</f>
        <v>31.266666666666669</v>
      </c>
      <c r="W8">
        <v>155.9</v>
      </c>
      <c r="X8" t="s">
        <v>354</v>
      </c>
      <c r="Y8" t="s">
        <v>509</v>
      </c>
      <c r="Z8">
        <v>414</v>
      </c>
      <c r="AA8">
        <v>468</v>
      </c>
      <c r="AB8">
        <v>372</v>
      </c>
      <c r="AC8" s="3">
        <f t="shared" si="0"/>
        <v>0</v>
      </c>
      <c r="AD8">
        <v>0</v>
      </c>
      <c r="AE8" s="39">
        <v>90</v>
      </c>
      <c r="AF8" s="39">
        <v>20</v>
      </c>
      <c r="AG8" s="39">
        <v>70</v>
      </c>
      <c r="AH8" s="39">
        <v>0</v>
      </c>
      <c r="AI8">
        <f>Feuil2!J8/Feuil2!K8</f>
        <v>0.14285714285714285</v>
      </c>
      <c r="AJ8">
        <f>Feuil2!J8+Feuil2!K8</f>
        <v>8</v>
      </c>
      <c r="AK8" s="2">
        <f>IF(COUNTIF(Feuil2!B36:B43,"Acridotheres tristis"),1,0)</f>
        <v>0</v>
      </c>
      <c r="AL8" s="2">
        <f>IF(COUNTIF(Feuil2!C36:C43,"Natif"),1,0)</f>
        <v>1</v>
      </c>
      <c r="AM8" s="2">
        <f>Feuil2!K8</f>
        <v>7</v>
      </c>
      <c r="AN8">
        <v>370</v>
      </c>
      <c r="AO8">
        <v>88</v>
      </c>
    </row>
    <row r="9" spans="1:42" x14ac:dyDescent="0.3">
      <c r="A9" t="s">
        <v>79</v>
      </c>
      <c r="B9" t="s">
        <v>80</v>
      </c>
      <c r="C9" t="s">
        <v>44</v>
      </c>
      <c r="D9" s="1">
        <v>45379</v>
      </c>
      <c r="E9" s="1">
        <v>45384</v>
      </c>
      <c r="F9" s="17">
        <f>AVERAGE(Soleil!$T$5:$T$10)</f>
        <v>0.25335648148148149</v>
      </c>
      <c r="G9" s="17">
        <f>AVERAGE(Soleil!$U$5:$U$10)</f>
        <v>0.74884259259259256</v>
      </c>
      <c r="H9" s="17">
        <f>AVERAGE(Soleil!$V$5:$V$10)</f>
        <v>0.49548611111111113</v>
      </c>
      <c r="I9" s="2" t="s">
        <v>81</v>
      </c>
      <c r="J9" s="2" t="s">
        <v>82</v>
      </c>
      <c r="K9" s="2">
        <v>191</v>
      </c>
      <c r="L9" t="s">
        <v>230</v>
      </c>
      <c r="M9" s="2" t="s">
        <v>314</v>
      </c>
      <c r="N9" t="s">
        <v>3</v>
      </c>
      <c r="O9" t="s">
        <v>4</v>
      </c>
      <c r="P9" t="s">
        <v>310</v>
      </c>
      <c r="Q9" t="s">
        <v>674</v>
      </c>
      <c r="R9" t="s">
        <v>336</v>
      </c>
      <c r="S9" s="33">
        <f>AVERAGE(Précipitation!H5:H10,Précipitation!H12:H17,Précipitation!H19:H24)</f>
        <v>3.9166666666666665</v>
      </c>
      <c r="T9" s="33">
        <f>MAX(Précipitation!H5:H10,Précipitation!H12:H17,Précipitation!H19:H24)</f>
        <v>24.6</v>
      </c>
      <c r="U9" s="33">
        <f>AVERAGE(Température!N5:N10)</f>
        <v>24.25</v>
      </c>
      <c r="V9" s="33">
        <f>AVERAGE(Température!O5:O10)</f>
        <v>31.266666666666669</v>
      </c>
      <c r="W9">
        <v>155.69999999999999</v>
      </c>
      <c r="X9" t="s">
        <v>354</v>
      </c>
      <c r="Y9" t="s">
        <v>509</v>
      </c>
      <c r="Z9">
        <v>851</v>
      </c>
      <c r="AA9">
        <v>888</v>
      </c>
      <c r="AB9">
        <v>808</v>
      </c>
      <c r="AC9" s="3">
        <f t="shared" si="0"/>
        <v>0</v>
      </c>
      <c r="AD9">
        <v>0</v>
      </c>
      <c r="AE9" s="39">
        <v>90</v>
      </c>
      <c r="AF9" s="39">
        <v>60</v>
      </c>
      <c r="AG9" s="39">
        <v>20</v>
      </c>
      <c r="AH9" s="39">
        <v>0</v>
      </c>
      <c r="AI9">
        <f>Feuil2!J9/Feuil2!K9</f>
        <v>0</v>
      </c>
      <c r="AJ9">
        <f>Feuil2!J9+Feuil2!K9</f>
        <v>5</v>
      </c>
      <c r="AK9" s="2">
        <f>IF(COUNTIF(Feuil2!B44:B48,"Acridotheres tristis"),1,0)</f>
        <v>1</v>
      </c>
      <c r="AL9" s="2">
        <f>IF(COUNTIF(Feuil2!C44:C48,"Natif"),1,0)</f>
        <v>0</v>
      </c>
      <c r="AM9" s="2">
        <f>Feuil2!K9</f>
        <v>5</v>
      </c>
      <c r="AN9">
        <v>370</v>
      </c>
      <c r="AO9">
        <v>88</v>
      </c>
    </row>
    <row r="10" spans="1:42" x14ac:dyDescent="0.3">
      <c r="A10" t="s">
        <v>83</v>
      </c>
      <c r="B10" t="s">
        <v>84</v>
      </c>
      <c r="C10" t="s">
        <v>21</v>
      </c>
      <c r="D10" s="1">
        <v>45379</v>
      </c>
      <c r="E10" s="1">
        <v>45384</v>
      </c>
      <c r="F10" s="17">
        <f>AVERAGE(Soleil!$W$5:$W$10)</f>
        <v>0.25335648148148149</v>
      </c>
      <c r="G10" s="17">
        <f>AVERAGE(Soleil!$X$5:$X$10)</f>
        <v>0.74884259259259256</v>
      </c>
      <c r="H10" s="17">
        <f>AVERAGE(Soleil!$Y$5:$Y$10)</f>
        <v>0.49548611111111113</v>
      </c>
      <c r="I10" s="2" t="s">
        <v>512</v>
      </c>
      <c r="J10" s="2" t="s">
        <v>513</v>
      </c>
      <c r="K10" s="2">
        <v>235</v>
      </c>
      <c r="L10" t="s">
        <v>230</v>
      </c>
      <c r="M10" s="2" t="s">
        <v>314</v>
      </c>
      <c r="N10" t="s">
        <v>3</v>
      </c>
      <c r="O10" t="s">
        <v>4</v>
      </c>
      <c r="P10" t="s">
        <v>310</v>
      </c>
      <c r="Q10" t="s">
        <v>674</v>
      </c>
      <c r="R10" t="s">
        <v>336</v>
      </c>
      <c r="S10" s="33">
        <f>AVERAGE(Précipitation!I5:I10,Précipitation!I12:I17,Précipitation!I19:I24)</f>
        <v>3.9166666666666665</v>
      </c>
      <c r="T10" s="33">
        <f>MAX(Précipitation!I7:I12,Précipitation!I14:I19,Précipitation!I21:I26)</f>
        <v>24.6</v>
      </c>
      <c r="U10" s="33">
        <f>AVERAGE(Température!P5:P10)</f>
        <v>24.25</v>
      </c>
      <c r="V10" s="33">
        <f>AVERAGE(Température!Q5:Q10)</f>
        <v>31.266666666666669</v>
      </c>
      <c r="W10">
        <v>155.19999999999999</v>
      </c>
      <c r="X10" t="s">
        <v>354</v>
      </c>
      <c r="Y10" t="s">
        <v>509</v>
      </c>
      <c r="Z10">
        <v>1289</v>
      </c>
      <c r="AA10">
        <v>1314</v>
      </c>
      <c r="AB10">
        <v>1096</v>
      </c>
      <c r="AC10" s="3">
        <f t="shared" si="0"/>
        <v>0</v>
      </c>
      <c r="AD10">
        <v>0</v>
      </c>
      <c r="AE10" s="39">
        <v>80</v>
      </c>
      <c r="AF10" s="39">
        <v>60</v>
      </c>
      <c r="AG10" s="39">
        <v>70</v>
      </c>
      <c r="AH10" s="39">
        <v>0</v>
      </c>
      <c r="AI10">
        <f>Feuil2!J10/Feuil2!K10</f>
        <v>0.2</v>
      </c>
      <c r="AJ10">
        <f>Feuil2!J10+Feuil2!K10</f>
        <v>6</v>
      </c>
      <c r="AK10" s="2">
        <f>IF(COUNTIF(Feuil2!B49:B54,"Acridotheres tristis"),1,0)</f>
        <v>0</v>
      </c>
      <c r="AL10" s="2">
        <f>IF(COUNTIF(Feuil2!C49:C54,"Natif"),1,0)</f>
        <v>1</v>
      </c>
      <c r="AM10" s="2">
        <f>Feuil2!K10</f>
        <v>5</v>
      </c>
      <c r="AN10">
        <v>370</v>
      </c>
      <c r="AO10">
        <v>88</v>
      </c>
    </row>
    <row r="11" spans="1:42" x14ac:dyDescent="0.3">
      <c r="A11" t="s">
        <v>87</v>
      </c>
      <c r="B11" t="s">
        <v>88</v>
      </c>
      <c r="C11" t="s">
        <v>89</v>
      </c>
      <c r="D11" s="1">
        <v>45379</v>
      </c>
      <c r="E11" s="1">
        <v>45384</v>
      </c>
      <c r="F11" s="17">
        <f>AVERAGE(Soleil!$Z$5:$Z$10)</f>
        <v>0.25335648148148149</v>
      </c>
      <c r="G11" s="17">
        <f>AVERAGE(Soleil!$AA$5:$AA$10)</f>
        <v>0.74884259259259256</v>
      </c>
      <c r="H11" s="17">
        <f>AVERAGE(Soleil!$AB$5:$AB$10)</f>
        <v>0.49548611111111113</v>
      </c>
      <c r="I11" s="2" t="s">
        <v>85</v>
      </c>
      <c r="J11" s="2" t="s">
        <v>86</v>
      </c>
      <c r="K11" s="2">
        <v>289</v>
      </c>
      <c r="L11" t="s">
        <v>230</v>
      </c>
      <c r="M11" s="2" t="s">
        <v>314</v>
      </c>
      <c r="N11" t="s">
        <v>3</v>
      </c>
      <c r="O11" t="s">
        <v>4</v>
      </c>
      <c r="P11" t="s">
        <v>310</v>
      </c>
      <c r="Q11" t="s">
        <v>674</v>
      </c>
      <c r="R11" t="s">
        <v>336</v>
      </c>
      <c r="S11" s="33">
        <f>AVERAGE(Précipitation!J5:J10,Précipitation!J12:J17,Précipitation!J19:J24)</f>
        <v>3.9166666666666665</v>
      </c>
      <c r="T11" s="33">
        <f>MAX(Précipitation!J5:J10,Précipitation!J12:J17,Précipitation!J19:J24)</f>
        <v>24.6</v>
      </c>
      <c r="U11" s="33">
        <f>AVERAGE(Température!R5:R10)</f>
        <v>24.25</v>
      </c>
      <c r="V11" s="33">
        <f>AVERAGE(Température!S5:S10)</f>
        <v>31.266666666666669</v>
      </c>
      <c r="W11">
        <v>154.30000000000001</v>
      </c>
      <c r="X11" t="s">
        <v>354</v>
      </c>
      <c r="Y11" t="s">
        <v>509</v>
      </c>
      <c r="Z11">
        <v>1675</v>
      </c>
      <c r="AA11">
        <v>1691</v>
      </c>
      <c r="AB11">
        <v>1332</v>
      </c>
      <c r="AC11" s="3">
        <f t="shared" si="0"/>
        <v>0</v>
      </c>
      <c r="AD11">
        <v>0</v>
      </c>
      <c r="AE11" s="39">
        <v>90</v>
      </c>
      <c r="AF11" s="39">
        <v>70</v>
      </c>
      <c r="AG11" s="39">
        <v>30</v>
      </c>
      <c r="AH11" s="39">
        <v>0</v>
      </c>
      <c r="AI11">
        <f>Feuil2!J11/Feuil2!K11</f>
        <v>0</v>
      </c>
      <c r="AJ11">
        <f>Feuil2!J11+Feuil2!K11</f>
        <v>5</v>
      </c>
      <c r="AK11" s="2">
        <f>IF(COUNTIF(Feuil2!B55:B59,"Acridotheres tristis"),1,0)</f>
        <v>0</v>
      </c>
      <c r="AL11" s="2">
        <f>IF(COUNTIF(Feuil2!C55:C59,"Natif"),1,0)</f>
        <v>0</v>
      </c>
      <c r="AM11" s="2">
        <f>Feuil2!K11</f>
        <v>5</v>
      </c>
      <c r="AN11">
        <v>370</v>
      </c>
      <c r="AO11">
        <v>88</v>
      </c>
    </row>
    <row r="12" spans="1:42" x14ac:dyDescent="0.3">
      <c r="A12" t="s">
        <v>91</v>
      </c>
      <c r="B12" t="s">
        <v>92</v>
      </c>
      <c r="C12" t="s">
        <v>48</v>
      </c>
      <c r="D12" s="1">
        <v>45392</v>
      </c>
      <c r="E12" s="1">
        <v>45397</v>
      </c>
      <c r="F12" s="17">
        <f>AVERAGE(Soleil!$AC$5:$AC$10)</f>
        <v>0.25520833333333331</v>
      </c>
      <c r="G12" s="17">
        <f>AVERAGE(Soleil!$AE$5:$AE$10)</f>
        <v>0.48645833333333327</v>
      </c>
      <c r="H12" s="17">
        <f>AVERAGE(Soleil!$AF$5:$AF$10)</f>
        <v>0.25503472222222223</v>
      </c>
      <c r="I12" s="2" t="s">
        <v>93</v>
      </c>
      <c r="J12" s="2" t="s">
        <v>94</v>
      </c>
      <c r="K12" s="2">
        <v>22</v>
      </c>
      <c r="L12" t="s">
        <v>231</v>
      </c>
      <c r="M12" s="2" t="s">
        <v>314</v>
      </c>
      <c r="N12" t="s">
        <v>3</v>
      </c>
      <c r="O12" t="s">
        <v>4</v>
      </c>
      <c r="P12" t="s">
        <v>311</v>
      </c>
      <c r="Q12" t="s">
        <v>672</v>
      </c>
      <c r="R12" t="s">
        <v>665</v>
      </c>
      <c r="S12" s="33">
        <f>AVERAGE(Précipitation!K5:K10)</f>
        <v>0.33333333333333331</v>
      </c>
      <c r="T12" s="33">
        <f>MAX(Précipitation!K5:K10)</f>
        <v>2</v>
      </c>
      <c r="U12" s="33">
        <f>AVERAGE(Température!T5:T10,Température!T12:T17)</f>
        <v>24.908333333333331</v>
      </c>
      <c r="V12" s="33">
        <f>AVERAGE(Température!U5:U10,Température!U12:U17)</f>
        <v>31.333333333333332</v>
      </c>
      <c r="W12">
        <v>243</v>
      </c>
      <c r="X12" t="s">
        <v>358</v>
      </c>
      <c r="Y12" t="s">
        <v>508</v>
      </c>
      <c r="Z12">
        <v>262</v>
      </c>
      <c r="AA12">
        <v>391</v>
      </c>
      <c r="AB12">
        <v>19.5</v>
      </c>
      <c r="AC12" s="3">
        <f t="shared" si="0"/>
        <v>0.30680863254392671</v>
      </c>
      <c r="AD12">
        <f>840+116+388+24+121+296+309+226+93.7+808+139+381+198+206+178+5+45.3+157+171+529+333+475+1330+1284+687+106+168+24.7</f>
        <v>9638.7000000000007</v>
      </c>
      <c r="AE12" s="39">
        <v>10</v>
      </c>
      <c r="AF12" s="39">
        <v>0</v>
      </c>
      <c r="AG12" s="39">
        <v>10</v>
      </c>
      <c r="AH12" s="39">
        <v>90</v>
      </c>
      <c r="AI12">
        <f>Feuil2!J12/Feuil2!K12</f>
        <v>0</v>
      </c>
      <c r="AJ12">
        <f>Feuil2!J12+Feuil2!K12</f>
        <v>7</v>
      </c>
      <c r="AK12" s="2">
        <f>IF(COUNTIF(Feuil2!B60:B66,"Acridotheres tristis"),1,0)</f>
        <v>1</v>
      </c>
      <c r="AL12" s="2">
        <f>IF(COUNTIF(Feuil2!C60:C66,"Natif"),1,0)</f>
        <v>0</v>
      </c>
      <c r="AM12" s="2">
        <f>Feuil2!K12</f>
        <v>7</v>
      </c>
      <c r="AN12">
        <v>390</v>
      </c>
      <c r="AO12">
        <v>101</v>
      </c>
    </row>
    <row r="13" spans="1:42" x14ac:dyDescent="0.3">
      <c r="A13" t="s">
        <v>59</v>
      </c>
      <c r="B13" t="s">
        <v>20</v>
      </c>
      <c r="C13" t="s">
        <v>21</v>
      </c>
      <c r="D13" s="1">
        <v>45392</v>
      </c>
      <c r="E13" s="1">
        <v>45395</v>
      </c>
      <c r="F13" s="17">
        <f>AVERAGE(Soleil!$AF$5:$AF$8)</f>
        <v>0.25503472222222223</v>
      </c>
      <c r="G13" s="17">
        <f>AVERAGE(Soleil!$AG$5:$AG$8)</f>
        <v>0.74270833333333341</v>
      </c>
      <c r="H13" s="17">
        <f>AVERAGE(Soleil!$AH$5:$AH$10)</f>
        <v>0.48715277777777777</v>
      </c>
      <c r="I13" s="2" t="s">
        <v>22</v>
      </c>
      <c r="J13" s="2" t="s">
        <v>23</v>
      </c>
      <c r="K13" s="2">
        <v>45</v>
      </c>
      <c r="L13" s="2" t="s">
        <v>231</v>
      </c>
      <c r="M13" s="2" t="s">
        <v>314</v>
      </c>
      <c r="N13" t="s">
        <v>3</v>
      </c>
      <c r="O13" t="s">
        <v>4</v>
      </c>
      <c r="P13" t="s">
        <v>310</v>
      </c>
      <c r="Q13" t="s">
        <v>672</v>
      </c>
      <c r="R13" t="s">
        <v>665</v>
      </c>
      <c r="S13" s="33">
        <f>AVERAGE(Précipitation!L5:L8)</f>
        <v>0.5</v>
      </c>
      <c r="T13" s="33">
        <f>MAX(Précipitation!L5:L8)</f>
        <v>2</v>
      </c>
      <c r="U13" s="33">
        <f>AVERAGE(Température!V5:V8,Température!V12:V15)</f>
        <v>25.037500000000001</v>
      </c>
      <c r="V13" s="33">
        <f>AVERAGE(Température!W5:W8,Température!W12:W15)</f>
        <v>31.5625</v>
      </c>
      <c r="W13">
        <v>242.5</v>
      </c>
      <c r="X13" t="s">
        <v>358</v>
      </c>
      <c r="Y13" t="s">
        <v>510</v>
      </c>
      <c r="Z13">
        <v>510</v>
      </c>
      <c r="AA13">
        <v>632</v>
      </c>
      <c r="AB13">
        <v>126</v>
      </c>
      <c r="AC13" s="3">
        <f t="shared" si="0"/>
        <v>1.1204481792717087E-2</v>
      </c>
      <c r="AD13">
        <v>352</v>
      </c>
      <c r="AE13" s="39">
        <v>40</v>
      </c>
      <c r="AF13" s="39">
        <v>20</v>
      </c>
      <c r="AG13" s="39">
        <v>70</v>
      </c>
      <c r="AH13" s="39">
        <v>0</v>
      </c>
      <c r="AI13">
        <f>Feuil2!J13/Feuil2!K13</f>
        <v>0.2857142857142857</v>
      </c>
      <c r="AJ13">
        <f>Feuil2!J13+Feuil2!K13</f>
        <v>9</v>
      </c>
      <c r="AK13" s="2">
        <f>IF(COUNTIF(Feuil2!B67:B75,"Acridotheres tristis"),1,0)</f>
        <v>1</v>
      </c>
      <c r="AL13" s="2">
        <f>IF(COUNTIF(Feuil2!C67:C75,"Natif"),1,0)</f>
        <v>1</v>
      </c>
      <c r="AM13" s="2">
        <f>Feuil2!K13</f>
        <v>7</v>
      </c>
      <c r="AN13">
        <v>215</v>
      </c>
      <c r="AO13">
        <v>101</v>
      </c>
    </row>
    <row r="14" spans="1:42" x14ac:dyDescent="0.3">
      <c r="A14" t="s">
        <v>96</v>
      </c>
      <c r="B14" t="s">
        <v>95</v>
      </c>
      <c r="C14" t="s">
        <v>97</v>
      </c>
      <c r="D14" s="1">
        <v>45392</v>
      </c>
      <c r="E14" s="1">
        <v>45398</v>
      </c>
      <c r="F14" s="17">
        <f>AVERAGE(Soleil!$AI$5:$AI$10)</f>
        <v>0.25520833333333331</v>
      </c>
      <c r="G14" s="17">
        <f>AVERAGE(Soleil!$AJ$5:$AJ$10)</f>
        <v>0.74224537037037042</v>
      </c>
      <c r="H14" s="17">
        <f>AVERAGE(Soleil!$AK$5:$AK$10)</f>
        <v>0.48645833333333327</v>
      </c>
      <c r="I14" s="2" t="s">
        <v>98</v>
      </c>
      <c r="J14" s="2" t="s">
        <v>99</v>
      </c>
      <c r="K14" s="2">
        <v>93</v>
      </c>
      <c r="L14" t="s">
        <v>231</v>
      </c>
      <c r="M14" s="2" t="s">
        <v>314</v>
      </c>
      <c r="N14" t="s">
        <v>3</v>
      </c>
      <c r="O14" t="s">
        <v>4</v>
      </c>
      <c r="P14" t="s">
        <v>310</v>
      </c>
      <c r="Q14" t="s">
        <v>672</v>
      </c>
      <c r="R14" t="s">
        <v>665</v>
      </c>
      <c r="S14" s="33">
        <f>AVERAGE(Précipitation!M5:M11)</f>
        <v>0.2857142857142857</v>
      </c>
      <c r="T14" s="33">
        <f>MAX(Précipitation!M5:M11)</f>
        <v>2</v>
      </c>
      <c r="U14" s="33">
        <f>AVERAGE(Température!X5:X11,Température!X13:X19)</f>
        <v>24.871428571428567</v>
      </c>
      <c r="V14" s="33">
        <f>AVERAGE(Température!Y5:Y11,Température!Y13:Y19)</f>
        <v>31.185714285714287</v>
      </c>
      <c r="W14">
        <v>242.1</v>
      </c>
      <c r="X14" t="s">
        <v>358</v>
      </c>
      <c r="Y14" t="s">
        <v>510</v>
      </c>
      <c r="Z14">
        <v>899</v>
      </c>
      <c r="AA14">
        <v>1026</v>
      </c>
      <c r="AB14">
        <v>408</v>
      </c>
      <c r="AC14" s="3">
        <f t="shared" si="0"/>
        <v>0</v>
      </c>
      <c r="AD14">
        <v>0</v>
      </c>
      <c r="AE14" s="39">
        <v>90</v>
      </c>
      <c r="AF14" s="39">
        <v>60</v>
      </c>
      <c r="AG14" s="39">
        <v>0</v>
      </c>
      <c r="AH14" s="39">
        <v>0</v>
      </c>
      <c r="AI14">
        <f>Feuil2!J14/Feuil2!K14</f>
        <v>0</v>
      </c>
      <c r="AJ14">
        <f>Feuil2!J14+Feuil2!K14</f>
        <v>4</v>
      </c>
      <c r="AK14" s="2">
        <f>IF(COUNTIF(Feuil2!B76:B79,"Acridotheres tristis"),1,0)</f>
        <v>0</v>
      </c>
      <c r="AL14" s="2">
        <f>IF(COUNTIF(Feuil2!C76:C79,"Natif"),1,0)</f>
        <v>0</v>
      </c>
      <c r="AM14" s="2">
        <f>Feuil2!K14</f>
        <v>4</v>
      </c>
      <c r="AN14">
        <v>390</v>
      </c>
      <c r="AO14">
        <v>101</v>
      </c>
    </row>
    <row r="15" spans="1:42" x14ac:dyDescent="0.3">
      <c r="A15" t="s">
        <v>100</v>
      </c>
      <c r="B15" t="s">
        <v>101</v>
      </c>
      <c r="C15" t="s">
        <v>15</v>
      </c>
      <c r="D15" s="1">
        <v>45392</v>
      </c>
      <c r="E15" s="1">
        <v>45395</v>
      </c>
      <c r="F15" s="17">
        <f>AVERAGE(Soleil!$AL$5:$AL$8)</f>
        <v>0.25503472222222223</v>
      </c>
      <c r="G15" s="17">
        <f>AVERAGE(Soleil!$AM$5:$AM$10)</f>
        <v>0.74270833333333341</v>
      </c>
      <c r="H15" s="17">
        <f>AVERAGE(Soleil!$AN$5:$AN$10)</f>
        <v>0.48715277777777777</v>
      </c>
      <c r="I15" s="2" t="s">
        <v>102</v>
      </c>
      <c r="J15" s="2" t="s">
        <v>103</v>
      </c>
      <c r="K15" s="2">
        <v>141</v>
      </c>
      <c r="L15" t="s">
        <v>231</v>
      </c>
      <c r="M15" s="2" t="s">
        <v>314</v>
      </c>
      <c r="N15" t="s">
        <v>3</v>
      </c>
      <c r="O15" t="s">
        <v>4</v>
      </c>
      <c r="P15" t="s">
        <v>310</v>
      </c>
      <c r="Q15" t="s">
        <v>672</v>
      </c>
      <c r="R15" t="s">
        <v>665</v>
      </c>
      <c r="S15" s="33">
        <f>AVERAGE(Précipitation!N5:N8)</f>
        <v>0.5</v>
      </c>
      <c r="T15" s="33">
        <f>MAX(Précipitation!N5:N8)</f>
        <v>2</v>
      </c>
      <c r="U15" s="33">
        <f>AVERAGE(Température!Z5:Z8,Température!Z12:Z15)</f>
        <v>25.037500000000001</v>
      </c>
      <c r="V15" s="33">
        <f>AVERAGE(Température!AA5:AA8,Température!AA12:AA15)</f>
        <v>31.5625</v>
      </c>
      <c r="W15">
        <v>241.5</v>
      </c>
      <c r="X15" t="s">
        <v>358</v>
      </c>
      <c r="Y15" t="s">
        <v>510</v>
      </c>
      <c r="Z15">
        <v>1335</v>
      </c>
      <c r="AA15">
        <v>1460</v>
      </c>
      <c r="AB15">
        <v>835</v>
      </c>
      <c r="AC15" s="3">
        <f t="shared" si="0"/>
        <v>1.2605042016806723E-3</v>
      </c>
      <c r="AD15">
        <v>39.6</v>
      </c>
      <c r="AE15" s="39">
        <v>90</v>
      </c>
      <c r="AF15" s="39">
        <v>40</v>
      </c>
      <c r="AG15" s="39">
        <v>40</v>
      </c>
      <c r="AH15" s="39">
        <v>0</v>
      </c>
      <c r="AI15">
        <f>Feuil2!J15/Feuil2!K15</f>
        <v>0</v>
      </c>
      <c r="AJ15">
        <f>Feuil2!J15+Feuil2!K15</f>
        <v>6</v>
      </c>
      <c r="AK15" s="2">
        <f>IF(COUNTIF(Feuil2!B80:B85,"Acridotheres tristis"),1,0)</f>
        <v>1</v>
      </c>
      <c r="AL15" s="2">
        <f>IF(COUNTIF(Feuil2!C80:C85,"Natif"),1,0)</f>
        <v>0</v>
      </c>
      <c r="AM15" s="2">
        <f>Feuil2!K15</f>
        <v>6</v>
      </c>
      <c r="AN15">
        <v>190</v>
      </c>
      <c r="AO15">
        <v>101</v>
      </c>
    </row>
    <row r="16" spans="1:42" x14ac:dyDescent="0.3">
      <c r="A16" t="s">
        <v>104</v>
      </c>
      <c r="B16" t="s">
        <v>105</v>
      </c>
      <c r="C16" t="s">
        <v>33</v>
      </c>
      <c r="D16" s="1">
        <v>45378</v>
      </c>
      <c r="E16" s="1">
        <v>45383</v>
      </c>
      <c r="F16" s="17">
        <f>AVERAGE(Soleil!$AO$5:$AO$10)</f>
        <v>0.25312500000000004</v>
      </c>
      <c r="G16" s="17">
        <f>AVERAGE(Soleil!$AP$5:$AP$10)</f>
        <v>0.74942129629629628</v>
      </c>
      <c r="H16" s="17">
        <f>AVERAGE(Soleil!$AQ$5:$AQ$10)</f>
        <v>0.49618055555555557</v>
      </c>
      <c r="I16" s="2" t="s">
        <v>106</v>
      </c>
      <c r="J16" s="2" t="s">
        <v>107</v>
      </c>
      <c r="K16" s="2">
        <v>810</v>
      </c>
      <c r="L16" t="s">
        <v>233</v>
      </c>
      <c r="M16" s="2" t="s">
        <v>314</v>
      </c>
      <c r="N16" t="s">
        <v>3</v>
      </c>
      <c r="O16" t="s">
        <v>4</v>
      </c>
      <c r="P16" t="s">
        <v>310</v>
      </c>
      <c r="Q16" t="s">
        <v>338</v>
      </c>
      <c r="R16" t="s">
        <v>338</v>
      </c>
      <c r="S16" s="33">
        <f>AVERAGE(Précipitation!O5:O10)</f>
        <v>0.43333333333333335</v>
      </c>
      <c r="T16" s="33">
        <f>MAX(Précipitation!O5:O10)</f>
        <v>2</v>
      </c>
      <c r="U16" s="33">
        <f>AVERAGE(Température!AB5:AB10)</f>
        <v>23.95</v>
      </c>
      <c r="V16" s="33">
        <f>AVERAGE(Température!AC5:AC10)</f>
        <v>32.099999999999994</v>
      </c>
      <c r="W16">
        <v>310.3</v>
      </c>
      <c r="X16" t="s">
        <v>355</v>
      </c>
      <c r="Y16" t="s">
        <v>509</v>
      </c>
      <c r="Z16">
        <v>5826</v>
      </c>
      <c r="AA16">
        <v>5615</v>
      </c>
      <c r="AB16">
        <v>1146</v>
      </c>
      <c r="AC16" s="3">
        <f t="shared" si="0"/>
        <v>0</v>
      </c>
      <c r="AD16">
        <v>0</v>
      </c>
      <c r="AE16" s="39">
        <v>20</v>
      </c>
      <c r="AF16" s="39">
        <v>40</v>
      </c>
      <c r="AG16" s="39">
        <v>70</v>
      </c>
      <c r="AH16" s="39">
        <v>0</v>
      </c>
      <c r="AI16">
        <f>Feuil2!J16/Feuil2!K16</f>
        <v>0.2</v>
      </c>
      <c r="AJ16">
        <f>Feuil2!J16+Feuil2!K16</f>
        <v>6</v>
      </c>
      <c r="AK16" s="2">
        <f>IF(COUNTIF(Feuil2!B86:B91,"Acridotheres tristis"),1,0)</f>
        <v>0</v>
      </c>
      <c r="AL16" s="2">
        <f>IF(COUNTIF(Feuil2!C86:C91,"Natif"),1,0)</f>
        <v>1</v>
      </c>
      <c r="AM16" s="2">
        <f>Feuil2!K16</f>
        <v>5</v>
      </c>
      <c r="AN16">
        <v>380</v>
      </c>
      <c r="AO16">
        <v>87</v>
      </c>
    </row>
    <row r="17" spans="1:42" x14ac:dyDescent="0.3">
      <c r="A17" t="s">
        <v>60</v>
      </c>
      <c r="B17" t="s">
        <v>27</v>
      </c>
      <c r="C17" t="s">
        <v>24</v>
      </c>
      <c r="D17" s="1">
        <v>45378</v>
      </c>
      <c r="E17" s="1">
        <v>45382</v>
      </c>
      <c r="F17" s="17">
        <f>AVERAGE(Soleil!$AR$5:$AR$10)</f>
        <v>0.25305555555555559</v>
      </c>
      <c r="G17" s="17">
        <f>AVERAGE(Soleil!$AS$5:$AS$10)</f>
        <v>0.74972222222222218</v>
      </c>
      <c r="H17" s="17">
        <f>AVERAGE(Soleil!$AT$5:$AT$10)</f>
        <v>0.49652777777777779</v>
      </c>
      <c r="I17" s="2" t="s">
        <v>25</v>
      </c>
      <c r="J17" s="2" t="s">
        <v>26</v>
      </c>
      <c r="K17" s="2">
        <v>720</v>
      </c>
      <c r="L17" s="2" t="s">
        <v>233</v>
      </c>
      <c r="M17" s="2" t="s">
        <v>314</v>
      </c>
      <c r="N17" t="s">
        <v>3</v>
      </c>
      <c r="O17" t="s">
        <v>4</v>
      </c>
      <c r="P17" t="s">
        <v>310</v>
      </c>
      <c r="Q17" t="s">
        <v>338</v>
      </c>
      <c r="R17" t="s">
        <v>338</v>
      </c>
      <c r="S17" s="33">
        <f>AVERAGE(Précipitation!P5:P9)</f>
        <v>0.4</v>
      </c>
      <c r="T17" s="33">
        <f>MAX(Précipitation!P5:P9)</f>
        <v>2</v>
      </c>
      <c r="U17" s="33">
        <f>AVERAGE(Température!AD5:AD9)</f>
        <v>23.919999999999998</v>
      </c>
      <c r="V17" s="33">
        <f>AVERAGE(Température!AE5:AE9)</f>
        <v>31.959999999999997</v>
      </c>
      <c r="W17">
        <v>311</v>
      </c>
      <c r="X17" t="s">
        <v>355</v>
      </c>
      <c r="Y17" t="s">
        <v>509</v>
      </c>
      <c r="Z17">
        <v>5433</v>
      </c>
      <c r="AA17">
        <v>5241</v>
      </c>
      <c r="AB17">
        <v>752</v>
      </c>
      <c r="AC17" s="3">
        <f t="shared" si="0"/>
        <v>0</v>
      </c>
      <c r="AD17">
        <v>0</v>
      </c>
      <c r="AE17" s="39">
        <v>90</v>
      </c>
      <c r="AF17" s="39">
        <v>30</v>
      </c>
      <c r="AG17" s="39">
        <v>40</v>
      </c>
      <c r="AH17" s="39">
        <v>0</v>
      </c>
      <c r="AI17">
        <f>Feuil2!J17/Feuil2!K17</f>
        <v>0.2</v>
      </c>
      <c r="AJ17">
        <f>Feuil2!J17+Feuil2!K17</f>
        <v>6</v>
      </c>
      <c r="AK17" s="2">
        <f>IF(COUNTIF(Feuil2!B92:B97,"Acridotheres tristis"),1,0)</f>
        <v>0</v>
      </c>
      <c r="AL17" s="2">
        <f>IF(COUNTIF(Feuil2!C92:C97,"Natif"),1,0)</f>
        <v>1</v>
      </c>
      <c r="AM17" s="2">
        <f>Feuil2!K17</f>
        <v>5</v>
      </c>
      <c r="AN17">
        <v>285</v>
      </c>
      <c r="AO17">
        <v>87</v>
      </c>
    </row>
    <row r="18" spans="1:42" x14ac:dyDescent="0.3">
      <c r="A18" t="s">
        <v>108</v>
      </c>
      <c r="B18" t="s">
        <v>109</v>
      </c>
      <c r="C18" t="s">
        <v>110</v>
      </c>
      <c r="D18" s="1">
        <v>45378</v>
      </c>
      <c r="E18" s="1">
        <v>45384</v>
      </c>
      <c r="F18" s="17">
        <f>AVERAGE(Soleil!$AU$5:$AU$10)</f>
        <v>0.25312500000000004</v>
      </c>
      <c r="G18" s="17">
        <f>AVERAGE(Soleil!$AV$5:$AV$10)</f>
        <v>0.74942129629629628</v>
      </c>
      <c r="H18" s="17">
        <f>AVERAGE(Soleil!$AW$5:$AW$10)</f>
        <v>0.49618055555555557</v>
      </c>
      <c r="I18" s="2" t="s">
        <v>111</v>
      </c>
      <c r="J18" s="2" t="s">
        <v>112</v>
      </c>
      <c r="K18" s="2">
        <v>633</v>
      </c>
      <c r="L18" t="s">
        <v>233</v>
      </c>
      <c r="M18" s="2" t="s">
        <v>314</v>
      </c>
      <c r="N18" t="s">
        <v>3</v>
      </c>
      <c r="O18" t="s">
        <v>4</v>
      </c>
      <c r="P18" t="s">
        <v>310</v>
      </c>
      <c r="Q18" t="s">
        <v>338</v>
      </c>
      <c r="R18" t="s">
        <v>338</v>
      </c>
      <c r="S18" s="33">
        <f>AVERAGE(Précipitation!Q5:Q11)</f>
        <v>0.37142857142857144</v>
      </c>
      <c r="T18" s="33">
        <f>MAX(Précipitation!Q5:Q11)</f>
        <v>2</v>
      </c>
      <c r="U18" s="33">
        <f>AVERAGE(Température!AF5:AF11)</f>
        <v>23.942857142857143</v>
      </c>
      <c r="V18" s="33">
        <f>AVERAGE(Température!AG5:AG11)</f>
        <v>32.228571428571421</v>
      </c>
      <c r="W18">
        <v>311.5</v>
      </c>
      <c r="X18" t="s">
        <v>355</v>
      </c>
      <c r="Y18" t="s">
        <v>509</v>
      </c>
      <c r="Z18">
        <v>5027</v>
      </c>
      <c r="AA18">
        <v>4868</v>
      </c>
      <c r="AB18">
        <v>341</v>
      </c>
      <c r="AC18" s="3">
        <f t="shared" si="0"/>
        <v>0</v>
      </c>
      <c r="AD18">
        <v>0</v>
      </c>
      <c r="AE18" s="39">
        <v>90</v>
      </c>
      <c r="AF18" s="39">
        <v>50</v>
      </c>
      <c r="AG18" s="39">
        <v>40</v>
      </c>
      <c r="AH18" s="39">
        <v>0</v>
      </c>
      <c r="AI18">
        <f>Feuil2!J18/Feuil2!K18</f>
        <v>0</v>
      </c>
      <c r="AJ18">
        <f>Feuil2!J18+Feuil2!K18</f>
        <v>5</v>
      </c>
      <c r="AK18" s="2">
        <f>IF(COUNTIF(Feuil2!B98:B102,"Acridotheres tristis"),1,0)</f>
        <v>0</v>
      </c>
      <c r="AL18" s="2">
        <f>IF(COUNTIF(Feuil2!C98:C102,"Natif"),1,0)</f>
        <v>0</v>
      </c>
      <c r="AM18" s="2">
        <f>Feuil2!K18</f>
        <v>5</v>
      </c>
      <c r="AN18">
        <v>315</v>
      </c>
      <c r="AO18">
        <v>87</v>
      </c>
    </row>
    <row r="19" spans="1:42" x14ac:dyDescent="0.3">
      <c r="A19" t="s">
        <v>113</v>
      </c>
      <c r="B19" t="s">
        <v>114</v>
      </c>
      <c r="C19" t="s">
        <v>115</v>
      </c>
      <c r="D19" s="1">
        <v>45378</v>
      </c>
      <c r="E19" s="1">
        <v>45383</v>
      </c>
      <c r="F19" s="17">
        <f>AVERAGE(Soleil!$AX$5:$AX$10)</f>
        <v>0.25312500000000004</v>
      </c>
      <c r="G19" s="17">
        <f>AVERAGE(Soleil!$AY$5:$AY$10)</f>
        <v>0.74942129629629628</v>
      </c>
      <c r="H19" s="17">
        <f>AVERAGE(Soleil!$AZ$5:$AZ$10)</f>
        <v>0.49618055555555557</v>
      </c>
      <c r="I19" s="2" t="s">
        <v>116</v>
      </c>
      <c r="J19" s="2" t="s">
        <v>117</v>
      </c>
      <c r="K19" s="2">
        <v>592</v>
      </c>
      <c r="L19" t="s">
        <v>233</v>
      </c>
      <c r="M19" s="2" t="s">
        <v>314</v>
      </c>
      <c r="N19" t="s">
        <v>3</v>
      </c>
      <c r="O19" t="s">
        <v>4</v>
      </c>
      <c r="P19" t="s">
        <v>310</v>
      </c>
      <c r="Q19" t="s">
        <v>338</v>
      </c>
      <c r="R19" t="s">
        <v>338</v>
      </c>
      <c r="S19" s="33">
        <f>AVERAGE(Précipitation!R5:R10)</f>
        <v>0.43333333333333335</v>
      </c>
      <c r="T19" s="33">
        <f>MAX(Précipitation!R5:R10)</f>
        <v>2</v>
      </c>
      <c r="U19" s="33">
        <f>AVERAGE(Température!AH5:AH10)</f>
        <v>23.95</v>
      </c>
      <c r="V19" s="33">
        <f>AVERAGE(Température!AI5:AI10)</f>
        <v>32.099999999999994</v>
      </c>
      <c r="W19">
        <v>312</v>
      </c>
      <c r="X19" t="s">
        <v>355</v>
      </c>
      <c r="Y19" t="s">
        <v>509</v>
      </c>
      <c r="Z19">
        <v>4625</v>
      </c>
      <c r="AA19">
        <v>4501</v>
      </c>
      <c r="AB19">
        <v>40.299999999999997</v>
      </c>
      <c r="AC19" s="3">
        <f t="shared" si="0"/>
        <v>3.6304112554112554E-2</v>
      </c>
      <c r="AD19">
        <f>711+47.8+182+40+47.1+11.9+8.43+36.3+56</f>
        <v>1140.53</v>
      </c>
      <c r="AE19" s="39">
        <v>80</v>
      </c>
      <c r="AF19" s="39">
        <v>40</v>
      </c>
      <c r="AG19" s="39">
        <v>40</v>
      </c>
      <c r="AH19" s="39">
        <v>10</v>
      </c>
      <c r="AI19">
        <f>Feuil2!J19/Feuil2!K19</f>
        <v>0.16666666666666666</v>
      </c>
      <c r="AJ19">
        <f>Feuil2!J19+Feuil2!K19</f>
        <v>7</v>
      </c>
      <c r="AK19" s="2">
        <f>IF(COUNTIF(Feuil2!B103:B109,"Acridotheres tristis"),1,0)</f>
        <v>0</v>
      </c>
      <c r="AL19" s="2">
        <f>IF(COUNTIF(Feuil2!C103:C109,"Natif"),1,0)</f>
        <v>1</v>
      </c>
      <c r="AM19" s="2">
        <f>Feuil2!K19</f>
        <v>6</v>
      </c>
      <c r="AN19">
        <v>365</v>
      </c>
      <c r="AO19">
        <v>87</v>
      </c>
    </row>
    <row r="20" spans="1:42" x14ac:dyDescent="0.3">
      <c r="A20" t="s">
        <v>118</v>
      </c>
      <c r="B20" t="s">
        <v>119</v>
      </c>
      <c r="C20" t="s">
        <v>120</v>
      </c>
      <c r="D20" s="1">
        <v>45378</v>
      </c>
      <c r="E20" s="1">
        <v>45383</v>
      </c>
      <c r="F20" s="17">
        <f>AVERAGE(Soleil!$BA$5:$BA$10)</f>
        <v>0.25312500000000004</v>
      </c>
      <c r="G20" s="17">
        <f>AVERAGE(Soleil!$BB$5:$BB$10)</f>
        <v>0.74942129629629628</v>
      </c>
      <c r="H20" s="17">
        <f>AVERAGE(Soleil!$BC$5:$BC$10)</f>
        <v>0.49618055555555557</v>
      </c>
      <c r="I20" s="2" t="s">
        <v>121</v>
      </c>
      <c r="J20" s="2" t="s">
        <v>122</v>
      </c>
      <c r="K20" s="2">
        <v>428</v>
      </c>
      <c r="L20" t="s">
        <v>233</v>
      </c>
      <c r="M20" s="2" t="s">
        <v>314</v>
      </c>
      <c r="N20" t="s">
        <v>3</v>
      </c>
      <c r="O20" t="s">
        <v>4</v>
      </c>
      <c r="P20" t="s">
        <v>310</v>
      </c>
      <c r="Q20" t="s">
        <v>338</v>
      </c>
      <c r="R20" t="s">
        <v>338</v>
      </c>
      <c r="S20" s="33">
        <f>AVERAGE(Précipitation!S5:S9)</f>
        <v>0.4</v>
      </c>
      <c r="T20" s="33">
        <f>MAX(Précipitation!S5:S9)</f>
        <v>2</v>
      </c>
      <c r="U20" s="33">
        <f>AVERAGE(Température!AJ5:AJ10)</f>
        <v>23.95</v>
      </c>
      <c r="V20" s="33">
        <f>AVERAGE(Température!AK5:AK10)</f>
        <v>32.099999999999994</v>
      </c>
      <c r="W20">
        <v>311.5</v>
      </c>
      <c r="X20" t="s">
        <v>355</v>
      </c>
      <c r="Y20" t="s">
        <v>509</v>
      </c>
      <c r="Z20">
        <v>4267</v>
      </c>
      <c r="AA20">
        <v>4258</v>
      </c>
      <c r="AB20">
        <v>217</v>
      </c>
      <c r="AC20" s="3">
        <f t="shared" si="0"/>
        <v>0</v>
      </c>
      <c r="AD20">
        <v>0</v>
      </c>
      <c r="AE20" s="39">
        <v>80</v>
      </c>
      <c r="AF20" s="39">
        <v>60</v>
      </c>
      <c r="AG20" s="39">
        <v>50</v>
      </c>
      <c r="AH20" s="39">
        <v>5</v>
      </c>
      <c r="AI20">
        <f>Feuil2!J20/Feuil2!K20</f>
        <v>0.2</v>
      </c>
      <c r="AJ20">
        <f>Feuil2!J20+Feuil2!K20</f>
        <v>6</v>
      </c>
      <c r="AK20" s="2">
        <f>IF(COUNTIF(Feuil2!B110:B115,"Acridotheres tristis"),1,0)</f>
        <v>1</v>
      </c>
      <c r="AL20" s="2">
        <f>IF(COUNTIF(Feuil2!C110:C115,"Natif"),1,0)</f>
        <v>1</v>
      </c>
      <c r="AM20" s="2">
        <f>Feuil2!K20</f>
        <v>5</v>
      </c>
      <c r="AN20">
        <v>310</v>
      </c>
      <c r="AO20">
        <v>87</v>
      </c>
    </row>
    <row r="21" spans="1:42" x14ac:dyDescent="0.3">
      <c r="A21" t="s">
        <v>123</v>
      </c>
      <c r="B21" t="s">
        <v>124</v>
      </c>
      <c r="C21" t="s">
        <v>37</v>
      </c>
      <c r="D21" s="1">
        <v>45378</v>
      </c>
      <c r="E21" s="1">
        <v>45381</v>
      </c>
      <c r="F21" s="17">
        <f>AVERAGE(Soleil!$BD$5:$BD$10)</f>
        <v>0.25295138888888891</v>
      </c>
      <c r="G21" s="17">
        <f>AVERAGE(Soleil!$BE$5:$BE$10)</f>
        <v>0.75</v>
      </c>
      <c r="H21" s="17">
        <f>AVERAGE(Soleil!$BF$5:$BF$10)</f>
        <v>0.49687500000000001</v>
      </c>
      <c r="I21" s="2" t="s">
        <v>125</v>
      </c>
      <c r="J21" s="2" t="s">
        <v>126</v>
      </c>
      <c r="K21" s="2">
        <v>294</v>
      </c>
      <c r="L21" t="s">
        <v>233</v>
      </c>
      <c r="M21" s="2" t="s">
        <v>314</v>
      </c>
      <c r="N21" t="s">
        <v>3</v>
      </c>
      <c r="O21" t="s">
        <v>4</v>
      </c>
      <c r="P21" t="s">
        <v>310</v>
      </c>
      <c r="Q21" t="s">
        <v>338</v>
      </c>
      <c r="R21" t="s">
        <v>338</v>
      </c>
      <c r="S21" s="33">
        <f>AVERAGE(Précipitation!T5:T8)</f>
        <v>0</v>
      </c>
      <c r="T21" s="33">
        <f>MAX(Précipitation!T5:T8)</f>
        <v>0</v>
      </c>
      <c r="U21" s="33">
        <f>AVERAGE(Température!AL5:AL8)</f>
        <v>23.75</v>
      </c>
      <c r="V21" s="33">
        <f>AVERAGE(Température!AM5:AM8)</f>
        <v>32.524999999999999</v>
      </c>
      <c r="W21">
        <v>311.7</v>
      </c>
      <c r="X21" t="s">
        <v>355</v>
      </c>
      <c r="Y21" t="s">
        <v>509</v>
      </c>
      <c r="Z21">
        <v>3644</v>
      </c>
      <c r="AA21">
        <v>3782</v>
      </c>
      <c r="AB21">
        <v>393</v>
      </c>
      <c r="AC21" s="3">
        <f t="shared" si="0"/>
        <v>0</v>
      </c>
      <c r="AD21">
        <v>0</v>
      </c>
      <c r="AE21" s="39">
        <v>90</v>
      </c>
      <c r="AF21" s="39">
        <v>30</v>
      </c>
      <c r="AG21" s="39">
        <v>40</v>
      </c>
      <c r="AH21" s="39">
        <v>5</v>
      </c>
      <c r="AI21">
        <f>Feuil2!J21/Feuil2!K21</f>
        <v>0.25</v>
      </c>
      <c r="AJ21">
        <f>Feuil2!J21+Feuil2!K21</f>
        <v>10</v>
      </c>
      <c r="AK21" s="2">
        <f>IF(COUNTIF(Feuil2!B116:B125,"Acridotheres tristis"),1,0)</f>
        <v>1</v>
      </c>
      <c r="AL21" s="2">
        <f>IF(COUNTIF(Feuil2!C116:C125,"Natif"),1,0)</f>
        <v>1</v>
      </c>
      <c r="AM21" s="2">
        <f>Feuil2!K21</f>
        <v>8</v>
      </c>
      <c r="AN21">
        <v>195</v>
      </c>
      <c r="AO21">
        <v>87</v>
      </c>
    </row>
    <row r="22" spans="1:42" x14ac:dyDescent="0.3">
      <c r="A22" t="s">
        <v>127</v>
      </c>
      <c r="B22" t="s">
        <v>128</v>
      </c>
      <c r="C22" t="s">
        <v>120</v>
      </c>
      <c r="D22" s="1">
        <v>45414</v>
      </c>
      <c r="E22" s="1">
        <v>45418</v>
      </c>
      <c r="F22" s="17">
        <f>AVERAGE(Soleil!$BG$5:$BG$10)</f>
        <v>0.25875000000000004</v>
      </c>
      <c r="G22" s="17">
        <f>AVERAGE(Soleil!$BH$5:$BH$10)</f>
        <v>0.73319444444444437</v>
      </c>
      <c r="H22" s="17">
        <f>AVERAGE(Soleil!$BI$5:$BI$10)</f>
        <v>0.47402777777777771</v>
      </c>
      <c r="I22" s="2" t="s">
        <v>129</v>
      </c>
      <c r="J22" s="2" t="s">
        <v>130</v>
      </c>
      <c r="K22" s="2">
        <v>256</v>
      </c>
      <c r="L22" t="s">
        <v>233</v>
      </c>
      <c r="M22" s="2" t="s">
        <v>314</v>
      </c>
      <c r="N22" t="s">
        <v>3</v>
      </c>
      <c r="O22" t="s">
        <v>4</v>
      </c>
      <c r="P22" t="s">
        <v>310</v>
      </c>
      <c r="Q22" t="s">
        <v>338</v>
      </c>
      <c r="R22" t="s">
        <v>338</v>
      </c>
      <c r="S22" s="33">
        <f>AVERAGE(Précipitation!U5:U9)</f>
        <v>0.08</v>
      </c>
      <c r="T22" s="33">
        <f>MAX(Précipitation!U5:U9)</f>
        <v>0.2</v>
      </c>
      <c r="U22" s="33">
        <f>AVERAGE(Température!AN5:AN9)</f>
        <v>22.96</v>
      </c>
      <c r="V22" s="33">
        <f>AVERAGE(Température!AO5:AO9)</f>
        <v>32.239999999999995</v>
      </c>
      <c r="W22">
        <v>312.5</v>
      </c>
      <c r="X22" t="s">
        <v>355</v>
      </c>
      <c r="Y22" t="s">
        <v>509</v>
      </c>
      <c r="Z22">
        <v>3211</v>
      </c>
      <c r="AA22">
        <v>3404</v>
      </c>
      <c r="AB22">
        <v>210</v>
      </c>
      <c r="AC22" s="3">
        <f t="shared" si="0"/>
        <v>0</v>
      </c>
      <c r="AD22">
        <v>0</v>
      </c>
      <c r="AE22" s="39">
        <v>90</v>
      </c>
      <c r="AF22" s="39">
        <v>60</v>
      </c>
      <c r="AG22" s="39">
        <v>0</v>
      </c>
      <c r="AH22" s="39">
        <v>5</v>
      </c>
      <c r="AI22">
        <f>Feuil2!J22/Feuil2!K22</f>
        <v>0.5</v>
      </c>
      <c r="AJ22">
        <f>Feuil2!J22+Feuil2!K22</f>
        <v>6</v>
      </c>
      <c r="AK22" s="2">
        <f>IF(COUNTIF(Feuil2!B126:B131,"Acridotheres tristis"),1,0)</f>
        <v>0</v>
      </c>
      <c r="AL22" s="2">
        <f>IF(COUNTIF(Feuil2!C126:C131,"Natif"),1,0)</f>
        <v>1</v>
      </c>
      <c r="AM22" s="2">
        <f>Feuil2!K22</f>
        <v>4</v>
      </c>
      <c r="AN22">
        <v>275</v>
      </c>
      <c r="AO22">
        <v>123</v>
      </c>
    </row>
    <row r="23" spans="1:42" x14ac:dyDescent="0.3">
      <c r="A23" t="s">
        <v>131</v>
      </c>
      <c r="B23" t="s">
        <v>132</v>
      </c>
      <c r="C23" t="s">
        <v>133</v>
      </c>
      <c r="D23" s="1">
        <v>45378</v>
      </c>
      <c r="E23" s="1">
        <v>45383</v>
      </c>
      <c r="F23" s="17">
        <f>AVERAGE(Soleil!$BJ$5:$BJ$10)</f>
        <v>0.25312500000000004</v>
      </c>
      <c r="G23" s="17">
        <f>AVERAGE(Soleil!$BK$5:$BK$10)</f>
        <v>0.74942129629629628</v>
      </c>
      <c r="H23" s="17">
        <f>AVERAGE(Soleil!$BL$5:$BL$10)</f>
        <v>0.49618055555555557</v>
      </c>
      <c r="I23" s="2" t="s">
        <v>134</v>
      </c>
      <c r="J23" s="2" t="s">
        <v>135</v>
      </c>
      <c r="K23" s="2">
        <v>173</v>
      </c>
      <c r="L23" t="s">
        <v>233</v>
      </c>
      <c r="M23" s="2" t="s">
        <v>314</v>
      </c>
      <c r="N23" t="s">
        <v>3</v>
      </c>
      <c r="O23" t="s">
        <v>4</v>
      </c>
      <c r="P23" t="s">
        <v>310</v>
      </c>
      <c r="Q23" t="s">
        <v>338</v>
      </c>
      <c r="R23" t="s">
        <v>338</v>
      </c>
      <c r="S23" s="33">
        <f>AVERAGE(Précipitation!V5:V10)</f>
        <v>0.43333333333333335</v>
      </c>
      <c r="T23" s="33">
        <f>MAX(Précipitation!V5:V10)</f>
        <v>2</v>
      </c>
      <c r="U23" s="33">
        <f>AVERAGE(Température!AP5:AP10)</f>
        <v>23.95</v>
      </c>
      <c r="V23" s="33">
        <f>AVERAGE(Température!AQ5:AQ10)</f>
        <v>32.099999999999994</v>
      </c>
      <c r="W23">
        <v>313.8</v>
      </c>
      <c r="X23" t="s">
        <v>355</v>
      </c>
      <c r="Y23" t="s">
        <v>509</v>
      </c>
      <c r="Z23">
        <v>2882</v>
      </c>
      <c r="AA23">
        <v>3017</v>
      </c>
      <c r="AB23">
        <v>226</v>
      </c>
      <c r="AC23" s="3">
        <f t="shared" si="0"/>
        <v>0</v>
      </c>
      <c r="AD23">
        <v>0</v>
      </c>
      <c r="AE23" s="39">
        <v>90</v>
      </c>
      <c r="AF23" s="39">
        <v>30</v>
      </c>
      <c r="AG23" s="39">
        <v>30</v>
      </c>
      <c r="AH23" s="39">
        <v>5</v>
      </c>
      <c r="AI23">
        <f>Feuil2!J23/Feuil2!K23</f>
        <v>0</v>
      </c>
      <c r="AJ23">
        <f>Feuil2!J23+Feuil2!K23</f>
        <v>5</v>
      </c>
      <c r="AK23" s="2">
        <f>IF(COUNTIF(Feuil2!B132:B136,"Acridotheres tristis"),1,0)</f>
        <v>0</v>
      </c>
      <c r="AL23" s="2">
        <f>IF(COUNTIF(Feuil2!C132:C136,"Natif"),1,0)</f>
        <v>0</v>
      </c>
      <c r="AM23" s="2">
        <f>Feuil2!K23</f>
        <v>5</v>
      </c>
      <c r="AN23">
        <v>340</v>
      </c>
      <c r="AO23">
        <v>87</v>
      </c>
    </row>
    <row r="24" spans="1:42" x14ac:dyDescent="0.3">
      <c r="A24" t="s">
        <v>136</v>
      </c>
      <c r="B24" t="s">
        <v>138</v>
      </c>
      <c r="C24" t="s">
        <v>137</v>
      </c>
      <c r="D24" s="1">
        <v>45414</v>
      </c>
      <c r="E24" s="1">
        <v>45420</v>
      </c>
      <c r="F24" s="17">
        <f>AVERAGE(Soleil!$BM$5:$BM$11)</f>
        <v>0.2590277777777778</v>
      </c>
      <c r="G24" s="17">
        <f>AVERAGE(Soleil!$BN$5:$BN$11)</f>
        <v>0.73283730158730154</v>
      </c>
      <c r="H24" s="17">
        <f>AVERAGE(Soleil!$BO$5:$BO$11)</f>
        <v>0.47351190476190474</v>
      </c>
      <c r="I24" s="2" t="s">
        <v>139</v>
      </c>
      <c r="J24" s="2" t="s">
        <v>140</v>
      </c>
      <c r="K24" s="2">
        <v>177</v>
      </c>
      <c r="L24" t="s">
        <v>233</v>
      </c>
      <c r="M24" s="2" t="s">
        <v>314</v>
      </c>
      <c r="N24" t="s">
        <v>3</v>
      </c>
      <c r="O24" t="s">
        <v>4</v>
      </c>
      <c r="P24" t="s">
        <v>310</v>
      </c>
      <c r="Q24" t="s">
        <v>338</v>
      </c>
      <c r="R24" t="s">
        <v>338</v>
      </c>
      <c r="S24" s="33">
        <f>AVERAGE(Précipitation!W5:W11)</f>
        <v>5.7142857142857148E-2</v>
      </c>
      <c r="T24" s="33">
        <f>MAX(Précipitation!W5:W11)</f>
        <v>0.2</v>
      </c>
      <c r="U24" s="33">
        <f>AVERAGE(Température!AR5:AR11)</f>
        <v>23.028571428571428</v>
      </c>
      <c r="V24" s="33">
        <f>AVERAGE(Température!AS5:AS11)</f>
        <v>32.142857142857146</v>
      </c>
      <c r="W24">
        <v>313.5</v>
      </c>
      <c r="X24" t="s">
        <v>355</v>
      </c>
      <c r="Y24" t="s">
        <v>508</v>
      </c>
      <c r="Z24">
        <v>2339</v>
      </c>
      <c r="AA24">
        <v>2679</v>
      </c>
      <c r="AB24">
        <v>116</v>
      </c>
      <c r="AC24" s="3">
        <f t="shared" si="0"/>
        <v>0</v>
      </c>
      <c r="AD24">
        <v>0</v>
      </c>
      <c r="AE24" s="39">
        <v>90</v>
      </c>
      <c r="AF24" s="39">
        <v>60</v>
      </c>
      <c r="AG24" s="39">
        <v>0</v>
      </c>
      <c r="AH24" s="39">
        <v>5</v>
      </c>
      <c r="AI24">
        <f>Feuil2!J24/Feuil2!K24</f>
        <v>0</v>
      </c>
      <c r="AJ24">
        <f>Feuil2!J24+Feuil2!K24</f>
        <v>6</v>
      </c>
      <c r="AK24" s="2">
        <f>IF(COUNTIF(Feuil2!B137:B142,"Acridotheres tristis"),1,0)</f>
        <v>0</v>
      </c>
      <c r="AL24" s="2">
        <f>IF(COUNTIF(Feuil2!C137:C142,"Natif"),1,0)</f>
        <v>0</v>
      </c>
      <c r="AM24" s="2">
        <f>Feuil2!K24</f>
        <v>6</v>
      </c>
      <c r="AN24">
        <v>370</v>
      </c>
      <c r="AO24">
        <v>123</v>
      </c>
    </row>
    <row r="25" spans="1:42" x14ac:dyDescent="0.3">
      <c r="A25" t="s">
        <v>660</v>
      </c>
      <c r="B25" t="s">
        <v>141</v>
      </c>
      <c r="C25" t="s">
        <v>142</v>
      </c>
      <c r="D25" s="1">
        <v>45378</v>
      </c>
      <c r="E25" s="1">
        <v>45384</v>
      </c>
      <c r="F25" s="17">
        <f>AVERAGE(Soleil!$BP$5:$BP$11)</f>
        <v>0.25317460317460322</v>
      </c>
      <c r="G25" s="17">
        <f>AVERAGE(Soleil!$BQ$5:$BQ$11)</f>
        <v>0.74910714285714286</v>
      </c>
      <c r="H25" s="17">
        <f>AVERAGE(Soleil!$BR$5:$BR$11)</f>
        <v>0.49583333333333329</v>
      </c>
      <c r="I25" s="2" t="s">
        <v>143</v>
      </c>
      <c r="J25" s="2" t="s">
        <v>144</v>
      </c>
      <c r="K25" s="2">
        <v>163</v>
      </c>
      <c r="L25" t="s">
        <v>233</v>
      </c>
      <c r="M25" s="2" t="s">
        <v>314</v>
      </c>
      <c r="N25" t="s">
        <v>3</v>
      </c>
      <c r="O25" t="s">
        <v>4</v>
      </c>
      <c r="P25" t="s">
        <v>311</v>
      </c>
      <c r="Q25" t="s">
        <v>338</v>
      </c>
      <c r="R25" t="s">
        <v>338</v>
      </c>
      <c r="S25" s="33">
        <f>AVERAGE(Précipitation!X5:X11)</f>
        <v>0.37142857142857144</v>
      </c>
      <c r="T25" s="33">
        <f>MAX(Précipitation!X5:X11)</f>
        <v>2</v>
      </c>
      <c r="U25" s="33">
        <f>AVERAGE(Température!AT5:AT11)</f>
        <v>23.942857142857143</v>
      </c>
      <c r="V25" s="33">
        <f>AVERAGE(Température!AU5:AU11)</f>
        <v>32.228571428571421</v>
      </c>
      <c r="W25">
        <v>314.2</v>
      </c>
      <c r="X25" t="s">
        <v>355</v>
      </c>
      <c r="Y25" t="s">
        <v>508</v>
      </c>
      <c r="Z25">
        <v>1883</v>
      </c>
      <c r="AA25">
        <v>2228</v>
      </c>
      <c r="AB25">
        <v>22.3</v>
      </c>
      <c r="AC25" s="3">
        <f t="shared" si="0"/>
        <v>0.33894194041252862</v>
      </c>
      <c r="AD25">
        <f>1094+41.6+4113+1335+709+3130+95.8+62+11.5+23.9+20.6+11.8</f>
        <v>10648.199999999999</v>
      </c>
      <c r="AE25" s="39">
        <v>40</v>
      </c>
      <c r="AF25" s="39">
        <v>20</v>
      </c>
      <c r="AG25" s="39">
        <v>0</v>
      </c>
      <c r="AH25" s="39">
        <v>50</v>
      </c>
      <c r="AI25">
        <f>Feuil2!J25/Feuil2!K25</f>
        <v>0</v>
      </c>
      <c r="AJ25">
        <f>Feuil2!J25+Feuil2!K25</f>
        <v>7</v>
      </c>
      <c r="AK25" s="2">
        <f>IF(COUNTIF(Feuil2!B143:B149,"Acridotheres tristis"),1,0)</f>
        <v>1</v>
      </c>
      <c r="AL25" s="2">
        <f>IF(COUNTIF(Feuil2!C143:C149,"Natif"),1,0)</f>
        <v>0</v>
      </c>
      <c r="AM25" s="2">
        <f>Feuil2!K25</f>
        <v>7</v>
      </c>
      <c r="AN25">
        <v>390</v>
      </c>
      <c r="AO25">
        <v>87</v>
      </c>
    </row>
    <row r="26" spans="1:42" x14ac:dyDescent="0.3">
      <c r="A26" t="s">
        <v>145</v>
      </c>
      <c r="B26" t="s">
        <v>146</v>
      </c>
      <c r="C26" t="s">
        <v>137</v>
      </c>
      <c r="D26" s="1">
        <v>45378</v>
      </c>
      <c r="E26" s="1">
        <v>45383</v>
      </c>
      <c r="F26" s="17">
        <f>AVERAGE(Soleil!$BS$5:$BS$10)</f>
        <v>0.25312500000000004</v>
      </c>
      <c r="G26" s="17">
        <f>AVERAGE(Soleil!$BT$5:$BT$10)</f>
        <v>0.74942129629629628</v>
      </c>
      <c r="H26" s="17">
        <f>AVERAGE(Soleil!$BU$5:$BU$10)</f>
        <v>0.49618055555555557</v>
      </c>
      <c r="I26" s="2" t="s">
        <v>147</v>
      </c>
      <c r="J26" s="2" t="s">
        <v>148</v>
      </c>
      <c r="K26" s="2">
        <v>58</v>
      </c>
      <c r="L26" t="s">
        <v>233</v>
      </c>
      <c r="M26" s="2" t="s">
        <v>314</v>
      </c>
      <c r="N26" t="s">
        <v>3</v>
      </c>
      <c r="O26" t="s">
        <v>4</v>
      </c>
      <c r="P26" t="s">
        <v>311</v>
      </c>
      <c r="Q26" t="s">
        <v>338</v>
      </c>
      <c r="R26" t="s">
        <v>338</v>
      </c>
      <c r="S26" s="33">
        <f>AVERAGE(Précipitation!Y5:Y10)</f>
        <v>0.43333333333333335</v>
      </c>
      <c r="T26" s="33">
        <f>MAX(Précipitation!Y5:Y10)</f>
        <v>2</v>
      </c>
      <c r="U26" s="33">
        <f>AVERAGE(Température!AV5:AV10)</f>
        <v>23.95</v>
      </c>
      <c r="V26" s="33">
        <f>AVERAGE(Température!AW5:AW10)</f>
        <v>32.099999999999994</v>
      </c>
      <c r="W26">
        <v>315.39999999999998</v>
      </c>
      <c r="X26" t="s">
        <v>355</v>
      </c>
      <c r="Y26" t="s">
        <v>508</v>
      </c>
      <c r="Z26">
        <v>992</v>
      </c>
      <c r="AA26">
        <v>1373</v>
      </c>
      <c r="AB26">
        <v>22.4</v>
      </c>
      <c r="AC26" s="3">
        <f t="shared" si="0"/>
        <v>0.3567099567099567</v>
      </c>
      <c r="AD26">
        <f>226+94.4+282+1892+398+2823+2304+1244+143+185+1615</f>
        <v>11206.4</v>
      </c>
      <c r="AE26" s="39">
        <v>50</v>
      </c>
      <c r="AF26" s="39">
        <v>10</v>
      </c>
      <c r="AG26" s="39">
        <v>0</v>
      </c>
      <c r="AH26" s="39">
        <v>50</v>
      </c>
      <c r="AI26">
        <f>Feuil2!J26/Feuil2!K26</f>
        <v>0</v>
      </c>
      <c r="AJ26">
        <f>Feuil2!J26+Feuil2!K26</f>
        <v>7</v>
      </c>
      <c r="AK26" s="2">
        <f>IF(COUNTIF(Feuil2!B150:B156,"Acridotheres tristis"),1,0)</f>
        <v>1</v>
      </c>
      <c r="AL26" s="2">
        <f>IF(COUNTIF(Feuil2!C150:C156,"Natif"),1,0)</f>
        <v>0</v>
      </c>
      <c r="AM26" s="2">
        <f>Feuil2!K26</f>
        <v>7</v>
      </c>
      <c r="AN26">
        <v>360</v>
      </c>
      <c r="AO26">
        <v>87</v>
      </c>
    </row>
    <row r="27" spans="1:42" x14ac:dyDescent="0.3">
      <c r="A27" t="s">
        <v>149</v>
      </c>
      <c r="B27" t="s">
        <v>150</v>
      </c>
      <c r="C27" t="s">
        <v>110</v>
      </c>
      <c r="D27" s="1">
        <v>45414</v>
      </c>
      <c r="E27" s="1">
        <v>45419</v>
      </c>
      <c r="F27" s="17">
        <f>AVERAGE(Soleil!$BV$5:$BV$10)</f>
        <v>0.25914351851851852</v>
      </c>
      <c r="G27" s="17">
        <f>AVERAGE(Soleil!$BW$5:$BW$10)</f>
        <v>0.73310185185185173</v>
      </c>
      <c r="H27" s="17">
        <f>AVERAGE(Soleil!$BX$5:$BX$10)</f>
        <v>0.47361111111111115</v>
      </c>
      <c r="I27" s="2" t="s">
        <v>151</v>
      </c>
      <c r="J27" s="2" t="s">
        <v>152</v>
      </c>
      <c r="K27" s="2">
        <v>14</v>
      </c>
      <c r="L27" t="s">
        <v>234</v>
      </c>
      <c r="M27" s="2" t="s">
        <v>314</v>
      </c>
      <c r="N27" t="s">
        <v>3</v>
      </c>
      <c r="O27" t="s">
        <v>4</v>
      </c>
      <c r="P27" t="s">
        <v>309</v>
      </c>
      <c r="Q27" t="s">
        <v>675</v>
      </c>
      <c r="R27" t="s">
        <v>338</v>
      </c>
      <c r="S27" s="33">
        <f>AVERAGE(Précipitation!Z5:Z10,Précipitation!Z12:Z17)</f>
        <v>0</v>
      </c>
      <c r="T27" s="33">
        <f>MAX(Précipitation!Z5:Z10,Précipitation!Z12:Z17)</f>
        <v>0</v>
      </c>
      <c r="U27" s="33">
        <f>AVERAGE(Température!AX5:AX10)</f>
        <v>23.016666666666666</v>
      </c>
      <c r="V27" s="33">
        <f>AVERAGE(Température!AY5:AY10)</f>
        <v>32.35</v>
      </c>
      <c r="W27">
        <v>313.3</v>
      </c>
      <c r="X27" t="s">
        <v>355</v>
      </c>
      <c r="Y27" t="s">
        <v>508</v>
      </c>
      <c r="Z27">
        <v>180</v>
      </c>
      <c r="AA27">
        <v>873</v>
      </c>
      <c r="AB27">
        <v>7.27</v>
      </c>
      <c r="AC27" s="3">
        <f t="shared" si="0"/>
        <v>0.87242169595110775</v>
      </c>
      <c r="AD27">
        <v>27408</v>
      </c>
      <c r="AE27" s="39">
        <v>30</v>
      </c>
      <c r="AF27" s="39">
        <v>0</v>
      </c>
      <c r="AG27" s="39">
        <v>20</v>
      </c>
      <c r="AH27" s="39">
        <v>70</v>
      </c>
      <c r="AI27">
        <f>Feuil2!J27/Feuil2!K27</f>
        <v>0</v>
      </c>
      <c r="AJ27">
        <f>Feuil2!J27+Feuil2!K27</f>
        <v>6</v>
      </c>
      <c r="AK27" s="2">
        <f>IF(COUNTIF(Feuil2!B157:B162,"Acridotheres tristis"),1,0)</f>
        <v>1</v>
      </c>
      <c r="AL27" s="2">
        <f>IF(COUNTIF(Feuil2!C157:C162,"Natif"),1,0)</f>
        <v>0</v>
      </c>
      <c r="AM27" s="2">
        <f>Feuil2!K27</f>
        <v>6</v>
      </c>
      <c r="AN27">
        <v>345</v>
      </c>
      <c r="AO27">
        <v>123</v>
      </c>
    </row>
    <row r="28" spans="1:42" x14ac:dyDescent="0.3">
      <c r="A28" t="s">
        <v>61</v>
      </c>
      <c r="B28" t="s">
        <v>28</v>
      </c>
      <c r="C28" t="s">
        <v>29</v>
      </c>
      <c r="D28" s="1">
        <v>45414</v>
      </c>
      <c r="E28" s="1">
        <v>45419</v>
      </c>
      <c r="F28" s="17">
        <f>AVERAGE(Soleil!$BY$5:$BY$10)</f>
        <v>0.25914351851851852</v>
      </c>
      <c r="G28" s="17">
        <f>AVERAGE(Soleil!$BZ$5:$BZ$10)</f>
        <v>0.73310185185185173</v>
      </c>
      <c r="H28" s="17">
        <f>AVERAGE(Soleil!$CA$5:$CA$10)</f>
        <v>0.47361111111111115</v>
      </c>
      <c r="I28" s="2" t="s">
        <v>30</v>
      </c>
      <c r="J28" s="2" t="s">
        <v>31</v>
      </c>
      <c r="K28" s="2">
        <v>10</v>
      </c>
      <c r="L28" s="2" t="s">
        <v>234</v>
      </c>
      <c r="M28" s="2" t="s">
        <v>314</v>
      </c>
      <c r="N28" t="s">
        <v>3</v>
      </c>
      <c r="O28" t="s">
        <v>4</v>
      </c>
      <c r="P28" t="s">
        <v>309</v>
      </c>
      <c r="Q28" t="s">
        <v>675</v>
      </c>
      <c r="R28" t="s">
        <v>338</v>
      </c>
      <c r="S28" s="33">
        <f>AVERAGE(Précipitation!AA5:AA10,Précipitation!AA12:AA17)</f>
        <v>0</v>
      </c>
      <c r="T28" s="33">
        <f>MAX(Précipitation!AA5:AA10,Précipitation!AA12:AA17)</f>
        <v>0</v>
      </c>
      <c r="U28" s="33">
        <f>AVERAGE(Température!AZ5:AZ10)</f>
        <v>23.016666666666666</v>
      </c>
      <c r="V28" s="33">
        <f>AVERAGE(Température!BA5:BA10)</f>
        <v>32.35</v>
      </c>
      <c r="W28">
        <v>313.5</v>
      </c>
      <c r="X28" t="s">
        <v>355</v>
      </c>
      <c r="Y28" t="s">
        <v>508</v>
      </c>
      <c r="Z28">
        <v>237</v>
      </c>
      <c r="AA28">
        <v>476</v>
      </c>
      <c r="AB28">
        <v>2.75</v>
      </c>
      <c r="AC28" s="3">
        <f t="shared" si="0"/>
        <v>0.70643621084797559</v>
      </c>
      <c r="AD28">
        <f>5392+323+58.7+145+87.7+1715+2957+187+2352+638+173+221+4780+2614+191+359</f>
        <v>22193.4</v>
      </c>
      <c r="AE28" s="39">
        <v>10</v>
      </c>
      <c r="AF28" s="39">
        <v>10</v>
      </c>
      <c r="AG28" s="39">
        <v>20</v>
      </c>
      <c r="AH28" s="39">
        <v>70</v>
      </c>
      <c r="AI28">
        <f>Feuil2!J28/Feuil2!K28</f>
        <v>0</v>
      </c>
      <c r="AJ28">
        <f>Feuil2!J28+Feuil2!K28</f>
        <v>7</v>
      </c>
      <c r="AK28" s="2">
        <f>IF(COUNTIF(Feuil2!B163:B169,"Acridotheres tristis"),1,0)</f>
        <v>1</v>
      </c>
      <c r="AL28" s="2">
        <f>IF(COUNTIF(Feuil2!C163:C169,"Natif"),1,0)</f>
        <v>0</v>
      </c>
      <c r="AM28" s="2">
        <f>Feuil2!K28</f>
        <v>7</v>
      </c>
      <c r="AN28">
        <v>345</v>
      </c>
      <c r="AO28">
        <v>123</v>
      </c>
    </row>
    <row r="29" spans="1:42" x14ac:dyDescent="0.3">
      <c r="A29" t="s">
        <v>153</v>
      </c>
      <c r="B29" t="s">
        <v>154</v>
      </c>
      <c r="C29" t="s">
        <v>89</v>
      </c>
      <c r="D29" s="1">
        <v>45414</v>
      </c>
      <c r="E29" s="1">
        <v>45419</v>
      </c>
      <c r="F29" s="17">
        <f>AVERAGE(Soleil!$CB$5:$CB$10)</f>
        <v>0.25914351851851852</v>
      </c>
      <c r="G29" s="17">
        <f>AVERAGE(Soleil!$CC$5:$CC$10)</f>
        <v>0.73310185185185173</v>
      </c>
      <c r="H29" s="17">
        <f>AVERAGE(Soleil!$CD$5:$CD$10)</f>
        <v>0.47361111111111115</v>
      </c>
      <c r="I29" s="2" t="s">
        <v>155</v>
      </c>
      <c r="J29" s="2" t="s">
        <v>156</v>
      </c>
      <c r="K29" s="2">
        <v>8</v>
      </c>
      <c r="L29" t="s">
        <v>234</v>
      </c>
      <c r="M29" s="2" t="s">
        <v>314</v>
      </c>
      <c r="N29" t="s">
        <v>3</v>
      </c>
      <c r="O29" t="s">
        <v>4</v>
      </c>
      <c r="P29" t="s">
        <v>309</v>
      </c>
      <c r="Q29" t="s">
        <v>675</v>
      </c>
      <c r="R29" t="s">
        <v>338</v>
      </c>
      <c r="S29" s="33">
        <f>AVERAGE(Précipitation!AB5:AB10,Précipitation!AB12:AB17)</f>
        <v>0</v>
      </c>
      <c r="T29" s="33">
        <f>MAX(Précipitation!AB5:AB10,Précipitation!AB12:AB17)</f>
        <v>0</v>
      </c>
      <c r="U29" s="33">
        <f>AVERAGE(Température!BB5:BB10)</f>
        <v>23.016666666666666</v>
      </c>
      <c r="V29" s="33">
        <f>AVERAGE(Température!BC5:BC10)</f>
        <v>32.35</v>
      </c>
      <c r="W29">
        <v>311.7</v>
      </c>
      <c r="X29" t="s">
        <v>355</v>
      </c>
      <c r="Y29" t="s">
        <v>508</v>
      </c>
      <c r="Z29">
        <v>336</v>
      </c>
      <c r="AA29">
        <v>202</v>
      </c>
      <c r="AB29">
        <v>7.87</v>
      </c>
      <c r="AC29" s="3">
        <f t="shared" si="0"/>
        <v>0.87764196587725996</v>
      </c>
      <c r="AD29">
        <v>27572</v>
      </c>
      <c r="AE29" s="39">
        <v>0</v>
      </c>
      <c r="AF29" s="39">
        <v>30</v>
      </c>
      <c r="AG29" s="39">
        <v>10</v>
      </c>
      <c r="AH29" s="39">
        <v>70</v>
      </c>
      <c r="AI29">
        <f>Feuil2!J29/Feuil2!K29</f>
        <v>0</v>
      </c>
      <c r="AJ29">
        <f>Feuil2!J29+Feuil2!K29</f>
        <v>5</v>
      </c>
      <c r="AK29" s="2">
        <f>IF(COUNTIF(Feuil2!B170:B174,"Acridotheres tristis"),1,0)</f>
        <v>1</v>
      </c>
      <c r="AL29" s="2">
        <f>IF(COUNTIF(Feuil2!C170:C174,"Natif"),1,0)</f>
        <v>0</v>
      </c>
      <c r="AM29" s="2">
        <f>Feuil2!K29</f>
        <v>5</v>
      </c>
      <c r="AN29">
        <v>345</v>
      </c>
      <c r="AO29">
        <v>123</v>
      </c>
      <c r="AP29" t="s">
        <v>161</v>
      </c>
    </row>
    <row r="30" spans="1:42" x14ac:dyDescent="0.3">
      <c r="A30" t="s">
        <v>157</v>
      </c>
      <c r="B30" t="s">
        <v>158</v>
      </c>
      <c r="C30" t="s">
        <v>44</v>
      </c>
      <c r="D30" s="1">
        <v>45414</v>
      </c>
      <c r="E30" s="1">
        <v>45417</v>
      </c>
      <c r="F30" s="17">
        <f>AVERAGE(Soleil!$CE$5:$CE$10)</f>
        <v>0.25885416666666672</v>
      </c>
      <c r="G30" s="17">
        <f>AVERAGE(Soleil!$CF$5:$CF$10)</f>
        <v>0.73333333333333328</v>
      </c>
      <c r="H30" s="17">
        <f>AVERAGE(Soleil!$CG$5:$CG$10)</f>
        <v>0.4741319444444444</v>
      </c>
      <c r="I30" s="2" t="s">
        <v>159</v>
      </c>
      <c r="J30" s="2" t="s">
        <v>160</v>
      </c>
      <c r="K30" s="2">
        <v>6</v>
      </c>
      <c r="L30" t="s">
        <v>234</v>
      </c>
      <c r="M30" s="2" t="s">
        <v>314</v>
      </c>
      <c r="N30" t="s">
        <v>3</v>
      </c>
      <c r="O30" t="s">
        <v>4</v>
      </c>
      <c r="P30" t="s">
        <v>309</v>
      </c>
      <c r="Q30" t="s">
        <v>675</v>
      </c>
      <c r="R30" t="s">
        <v>338</v>
      </c>
      <c r="S30" s="33">
        <f>AVERAGE(Précipitation!AC5:AC8,Précipitation!AC12:AC15)</f>
        <v>0</v>
      </c>
      <c r="T30" s="33">
        <f>MAX(Précipitation!AC5:AC8,Précipitation!AC12:AC15)</f>
        <v>0</v>
      </c>
      <c r="U30" s="33">
        <f>AVERAGE(Température!BD5:BD8)</f>
        <v>22.75</v>
      </c>
      <c r="V30" s="33">
        <f>AVERAGE(Température!BE5:BE8)</f>
        <v>32.049999999999997</v>
      </c>
      <c r="W30">
        <v>316.8</v>
      </c>
      <c r="X30" t="s">
        <v>355</v>
      </c>
      <c r="Y30" t="s">
        <v>508</v>
      </c>
      <c r="Z30">
        <v>765</v>
      </c>
      <c r="AA30">
        <v>60.2</v>
      </c>
      <c r="AB30">
        <v>5</v>
      </c>
      <c r="AC30" s="3">
        <f t="shared" si="0"/>
        <v>0.43166857652151774</v>
      </c>
      <c r="AD30">
        <f>174+392+380+1185+20.7+4115+17.7+12.3+13.6+53.6+3438+896+46.4+44+1891+307+575</f>
        <v>13561.300000000001</v>
      </c>
      <c r="AE30" s="39">
        <v>10</v>
      </c>
      <c r="AF30" s="39">
        <v>40</v>
      </c>
      <c r="AG30" s="39">
        <v>30</v>
      </c>
      <c r="AH30" s="39">
        <v>40</v>
      </c>
      <c r="AI30">
        <f>Feuil2!J30/Feuil2!K30</f>
        <v>0</v>
      </c>
      <c r="AJ30">
        <f>Feuil2!J30+Feuil2!K30</f>
        <v>5</v>
      </c>
      <c r="AK30" s="2">
        <f>IF(COUNTIF(Feuil2!B175:B179,"Acridotheres tristis"),1,0)</f>
        <v>1</v>
      </c>
      <c r="AL30" s="2">
        <f>IF(COUNTIF(Feuil2!C175:C179,"Natif"),1,0)</f>
        <v>0</v>
      </c>
      <c r="AM30" s="2">
        <f>Feuil2!K30</f>
        <v>5</v>
      </c>
      <c r="AN30">
        <v>225</v>
      </c>
      <c r="AO30">
        <v>123</v>
      </c>
    </row>
    <row r="31" spans="1:42" x14ac:dyDescent="0.3">
      <c r="A31" t="s">
        <v>162</v>
      </c>
      <c r="B31" t="s">
        <v>163</v>
      </c>
      <c r="C31" t="s">
        <v>142</v>
      </c>
      <c r="D31" s="1">
        <v>45341</v>
      </c>
      <c r="E31" s="1">
        <v>45346</v>
      </c>
      <c r="F31" s="17">
        <f>AVERAGE(Soleil!$CH$5:$CH$10)</f>
        <v>0.2457175925925926</v>
      </c>
      <c r="G31" s="17">
        <f>AVERAGE(Soleil!$CI$5:$CI$10)</f>
        <v>0.76782407407407416</v>
      </c>
      <c r="H31" s="17">
        <f>AVERAGE(Soleil!$CJ$5:$CJ$10)</f>
        <v>0.52187499999999998</v>
      </c>
      <c r="I31" s="2" t="s">
        <v>168</v>
      </c>
      <c r="J31" s="2" t="s">
        <v>169</v>
      </c>
      <c r="K31" s="2">
        <v>749</v>
      </c>
      <c r="L31" t="s">
        <v>227</v>
      </c>
      <c r="M31" t="s">
        <v>313</v>
      </c>
      <c r="N31" t="s">
        <v>3</v>
      </c>
      <c r="O31" t="s">
        <v>4</v>
      </c>
      <c r="P31" t="s">
        <v>310</v>
      </c>
      <c r="Q31" t="s">
        <v>666</v>
      </c>
      <c r="R31" t="s">
        <v>334</v>
      </c>
      <c r="S31" s="33">
        <f>AVERAGE(Précipitation!AD5:AD10,Précipitation!AD12:AD17)</f>
        <v>2.35</v>
      </c>
      <c r="T31" s="33">
        <f>MAX(Précipitation!AD5:AD10,Précipitation!AD12:AD17)</f>
        <v>10.199999999999999</v>
      </c>
      <c r="U31" s="33">
        <f>AVERAGE(Température!BF5:BF10)</f>
        <v>20.46</v>
      </c>
      <c r="V31" s="33">
        <f>AVERAGE(Température!BG5:BG10)</f>
        <v>25.259999999999998</v>
      </c>
      <c r="W31">
        <v>302.39999999999998</v>
      </c>
      <c r="X31" t="s">
        <v>355</v>
      </c>
      <c r="Y31" t="s">
        <v>511</v>
      </c>
      <c r="Z31">
        <v>5244</v>
      </c>
      <c r="AA31">
        <v>5297</v>
      </c>
      <c r="AB31">
        <v>745</v>
      </c>
      <c r="AC31" s="3">
        <f t="shared" si="0"/>
        <v>0</v>
      </c>
      <c r="AD31">
        <v>0</v>
      </c>
      <c r="AE31" s="39">
        <v>20</v>
      </c>
      <c r="AF31" s="39">
        <v>40</v>
      </c>
      <c r="AG31" s="39">
        <v>60</v>
      </c>
      <c r="AH31" s="39">
        <v>0</v>
      </c>
      <c r="AI31">
        <f>Feuil2!J31/Feuil2!K31</f>
        <v>0</v>
      </c>
      <c r="AJ31">
        <f>Feuil2!J31+Feuil2!K31</f>
        <v>4</v>
      </c>
      <c r="AK31" s="2">
        <f>IF(COUNTIF(Feuil2!B180:B183,"Acridotheres tristis"),1,0)</f>
        <v>1</v>
      </c>
      <c r="AL31" s="2">
        <f>IF(COUNTIF(Feuil2!C180:C183,"Natif"),1,0)</f>
        <v>0</v>
      </c>
      <c r="AM31" s="2">
        <f>Feuil2!K31</f>
        <v>4</v>
      </c>
      <c r="AN31">
        <v>350</v>
      </c>
      <c r="AO31">
        <v>50</v>
      </c>
    </row>
    <row r="32" spans="1:42" x14ac:dyDescent="0.3">
      <c r="A32" t="s">
        <v>170</v>
      </c>
      <c r="B32" t="s">
        <v>164</v>
      </c>
      <c r="C32" t="s">
        <v>137</v>
      </c>
      <c r="D32" s="1">
        <v>45341</v>
      </c>
      <c r="E32" s="1">
        <v>45346</v>
      </c>
      <c r="F32" s="17">
        <f>AVERAGE(Soleil!$CK$5:$CK$10)</f>
        <v>0.2457175925925926</v>
      </c>
      <c r="G32" s="17">
        <f>AVERAGE(Soleil!$CL$5:$CL$10)</f>
        <v>0.76782407407407416</v>
      </c>
      <c r="H32" s="17">
        <f>AVERAGE(Soleil!$CM$5:$CM$10)</f>
        <v>0.52187499999999998</v>
      </c>
      <c r="I32" s="2" t="s">
        <v>172</v>
      </c>
      <c r="J32" s="2" t="s">
        <v>173</v>
      </c>
      <c r="K32" s="2">
        <v>714</v>
      </c>
      <c r="L32" t="s">
        <v>227</v>
      </c>
      <c r="M32" t="s">
        <v>313</v>
      </c>
      <c r="N32" t="s">
        <v>3</v>
      </c>
      <c r="O32" t="s">
        <v>4</v>
      </c>
      <c r="P32" t="s">
        <v>310</v>
      </c>
      <c r="Q32" t="s">
        <v>666</v>
      </c>
      <c r="R32" t="s">
        <v>334</v>
      </c>
      <c r="S32" s="33">
        <f>AVERAGE(Précipitation!AE5:AE10,Précipitation!AE12:AE17)</f>
        <v>2.35</v>
      </c>
      <c r="T32" s="33">
        <f>MAX(Précipitation!AE5:AE10,Précipitation!AE12:AE17)</f>
        <v>10.199999999999999</v>
      </c>
      <c r="U32" s="33">
        <f>AVERAGE(Température!BH5:BH10)</f>
        <v>20.46</v>
      </c>
      <c r="V32" s="33">
        <f>AVERAGE(Température!BI5:BI10)</f>
        <v>25.259999999999998</v>
      </c>
      <c r="W32">
        <v>303.8</v>
      </c>
      <c r="X32" t="s">
        <v>355</v>
      </c>
      <c r="Y32" t="s">
        <v>511</v>
      </c>
      <c r="Z32">
        <v>4900</v>
      </c>
      <c r="AA32">
        <v>4953</v>
      </c>
      <c r="AB32">
        <v>455</v>
      </c>
      <c r="AC32" s="3">
        <f t="shared" si="0"/>
        <v>0</v>
      </c>
      <c r="AD32">
        <v>0</v>
      </c>
      <c r="AE32" s="39">
        <v>40</v>
      </c>
      <c r="AF32" s="39">
        <v>60</v>
      </c>
      <c r="AG32" s="39">
        <v>50</v>
      </c>
      <c r="AH32" s="39">
        <v>0</v>
      </c>
      <c r="AI32">
        <f>Feuil2!J32/Feuil2!K32</f>
        <v>0.2</v>
      </c>
      <c r="AJ32">
        <f>Feuil2!J32+Feuil2!K32</f>
        <v>6</v>
      </c>
      <c r="AK32" s="2">
        <f>IF(COUNTIF(Feuil2!B184:B189,"Acridotheres tristis"),1,0)</f>
        <v>0</v>
      </c>
      <c r="AL32" s="2">
        <f>IF(COUNTIF(Feuil2!C184:C189,"Natif"),1,0)</f>
        <v>1</v>
      </c>
      <c r="AM32" s="2">
        <f>Feuil2!K32</f>
        <v>5</v>
      </c>
      <c r="AN32">
        <v>390</v>
      </c>
      <c r="AO32">
        <v>50</v>
      </c>
    </row>
    <row r="33" spans="1:42" x14ac:dyDescent="0.3">
      <c r="A33" t="s">
        <v>174</v>
      </c>
      <c r="B33" t="s">
        <v>165</v>
      </c>
      <c r="C33" t="s">
        <v>48</v>
      </c>
      <c r="D33" s="1">
        <v>45341</v>
      </c>
      <c r="E33" s="1">
        <v>45346</v>
      </c>
      <c r="F33" s="17">
        <f>AVERAGE(Soleil!$CN$5:$CN$10)</f>
        <v>0.2457175925925926</v>
      </c>
      <c r="G33" s="17">
        <f>AVERAGE(Soleil!$CO$5:$CO$10)</f>
        <v>0.76782407407407416</v>
      </c>
      <c r="H33" s="17">
        <f>AVERAGE(Soleil!$CP$5:$CP$10)</f>
        <v>0.52187499999999998</v>
      </c>
      <c r="I33" s="2" t="s">
        <v>175</v>
      </c>
      <c r="J33" s="2" t="s">
        <v>176</v>
      </c>
      <c r="K33" s="2">
        <v>670</v>
      </c>
      <c r="L33" t="s">
        <v>227</v>
      </c>
      <c r="M33" t="s">
        <v>313</v>
      </c>
      <c r="N33" t="s">
        <v>3</v>
      </c>
      <c r="O33" t="s">
        <v>4</v>
      </c>
      <c r="P33" t="s">
        <v>310</v>
      </c>
      <c r="Q33" t="s">
        <v>666</v>
      </c>
      <c r="R33" t="s">
        <v>334</v>
      </c>
      <c r="S33" s="33">
        <f>AVERAGE(Précipitation!AF5:AF10,Précipitation!AF12:AF17)</f>
        <v>2.35</v>
      </c>
      <c r="T33" s="33">
        <f>MAX(Précipitation!AF5:AF10,Précipitation!AF12:AF17)</f>
        <v>10.199999999999999</v>
      </c>
      <c r="U33" s="33">
        <f>AVERAGE(Température!BJ4:BJ10)</f>
        <v>20.46</v>
      </c>
      <c r="V33" s="33">
        <f>AVERAGE(Température!BK4:BK10)</f>
        <v>25.259999999999998</v>
      </c>
      <c r="W33">
        <v>304.5</v>
      </c>
      <c r="X33" t="s">
        <v>355</v>
      </c>
      <c r="Y33" t="s">
        <v>511</v>
      </c>
      <c r="Z33">
        <v>4589</v>
      </c>
      <c r="AA33">
        <v>4643</v>
      </c>
      <c r="AB33">
        <v>221</v>
      </c>
      <c r="AC33" s="3">
        <f t="shared" si="0"/>
        <v>0</v>
      </c>
      <c r="AD33">
        <v>0</v>
      </c>
      <c r="AE33" s="39">
        <v>60</v>
      </c>
      <c r="AF33" s="39">
        <v>60</v>
      </c>
      <c r="AG33" s="39">
        <v>60</v>
      </c>
      <c r="AH33" s="39">
        <v>0</v>
      </c>
      <c r="AI33">
        <f>Feuil2!J33/Feuil2!K33</f>
        <v>0.25</v>
      </c>
      <c r="AJ33">
        <f>Feuil2!J33+Feuil2!K33</f>
        <v>5</v>
      </c>
      <c r="AK33" s="2">
        <f>IF(COUNTIF(Feuil2!B190:B194,"Acridotheres tristis"),1,0)</f>
        <v>1</v>
      </c>
      <c r="AL33" s="2">
        <f>IF(COUNTIF(Feuil2!C190:C194,"Natif"),1,0)</f>
        <v>1</v>
      </c>
      <c r="AM33" s="2">
        <f>Feuil2!K33</f>
        <v>4</v>
      </c>
      <c r="AN33">
        <v>365</v>
      </c>
      <c r="AO33">
        <v>50</v>
      </c>
    </row>
    <row r="34" spans="1:42" x14ac:dyDescent="0.3">
      <c r="A34" t="s">
        <v>63</v>
      </c>
      <c r="B34" t="s">
        <v>36</v>
      </c>
      <c r="C34" t="s">
        <v>37</v>
      </c>
      <c r="D34" s="1">
        <v>45341</v>
      </c>
      <c r="E34" s="1">
        <v>45346</v>
      </c>
      <c r="F34" s="17">
        <f>AVERAGE(Soleil!$CQ$5:$CQ$10)</f>
        <v>0.2457175925925926</v>
      </c>
      <c r="G34" s="17">
        <f>AVERAGE(Soleil!$CR$5:$CR$10)</f>
        <v>0.76782407407407416</v>
      </c>
      <c r="H34" s="17">
        <f>AVERAGE(Soleil!$CS$5:$CS$10)</f>
        <v>0.52187499999999998</v>
      </c>
      <c r="I34" s="2" t="s">
        <v>38</v>
      </c>
      <c r="J34" s="2" t="s">
        <v>39</v>
      </c>
      <c r="K34" s="2">
        <v>637</v>
      </c>
      <c r="L34" t="s">
        <v>227</v>
      </c>
      <c r="M34" t="s">
        <v>313</v>
      </c>
      <c r="N34" t="s">
        <v>3</v>
      </c>
      <c r="O34" t="s">
        <v>4</v>
      </c>
      <c r="P34" t="s">
        <v>310</v>
      </c>
      <c r="Q34" t="s">
        <v>666</v>
      </c>
      <c r="R34" t="s">
        <v>334</v>
      </c>
      <c r="S34" s="33">
        <f>AVERAGE(Précipitation!AG5:AG10,Précipitation!AG12:AG17)</f>
        <v>2.35</v>
      </c>
      <c r="T34" s="33">
        <f>MAX(Précipitation!AG5:AG10,Précipitation!AG12:AG17)</f>
        <v>10.199999999999999</v>
      </c>
      <c r="U34" s="33">
        <f>AVERAGE(Température!BL5:BL10)</f>
        <v>20.46</v>
      </c>
      <c r="V34" s="33">
        <f>AVERAGE(Température!BM5:BM10)</f>
        <v>25.259999999999998</v>
      </c>
      <c r="W34">
        <v>305.8</v>
      </c>
      <c r="X34" t="s">
        <v>355</v>
      </c>
      <c r="Y34" t="s">
        <v>511</v>
      </c>
      <c r="Z34">
        <v>4251</v>
      </c>
      <c r="AA34">
        <v>4313</v>
      </c>
      <c r="AB34">
        <v>348</v>
      </c>
      <c r="AC34" s="3">
        <f t="shared" si="0"/>
        <v>5.1056786350904E-2</v>
      </c>
      <c r="AD34">
        <v>1604</v>
      </c>
      <c r="AE34" s="39">
        <v>15</v>
      </c>
      <c r="AF34" s="39">
        <v>40</v>
      </c>
      <c r="AG34" s="39">
        <v>70</v>
      </c>
      <c r="AH34" s="39">
        <v>0</v>
      </c>
      <c r="AI34">
        <f>Feuil2!J34/Feuil2!K34</f>
        <v>0.2857142857142857</v>
      </c>
      <c r="AJ34">
        <f>Feuil2!J34+Feuil2!K34</f>
        <v>9</v>
      </c>
      <c r="AK34" s="2">
        <f>IF(COUNTIF(Feuil2!B195:B203,"Acridotheres tristis"),1,0)</f>
        <v>1</v>
      </c>
      <c r="AL34" s="2">
        <f>IF(COUNTIF(Feuil2!C195:C203,"Natif"),1,0)</f>
        <v>1</v>
      </c>
      <c r="AM34" s="2">
        <f>Feuil2!K34</f>
        <v>7</v>
      </c>
      <c r="AN34">
        <v>295</v>
      </c>
      <c r="AO34">
        <v>50</v>
      </c>
    </row>
    <row r="35" spans="1:42" x14ac:dyDescent="0.3">
      <c r="A35" t="s">
        <v>177</v>
      </c>
      <c r="B35" t="s">
        <v>166</v>
      </c>
      <c r="C35" t="s">
        <v>29</v>
      </c>
      <c r="D35" s="1">
        <v>45341</v>
      </c>
      <c r="E35" s="1">
        <v>45346</v>
      </c>
      <c r="F35" s="17">
        <f>AVERAGE(Soleil!$CT$5:$CT$10)</f>
        <v>0.2457175925925926</v>
      </c>
      <c r="G35" s="17">
        <f>AVERAGE(Soleil!$CU$5:$CU$10)</f>
        <v>0.76782407407407416</v>
      </c>
      <c r="H35" s="17">
        <f>AVERAGE(Soleil!$CV$5:$CV$10)</f>
        <v>0.52187499999999998</v>
      </c>
      <c r="I35" s="2" t="s">
        <v>178</v>
      </c>
      <c r="J35" s="2" t="s">
        <v>179</v>
      </c>
      <c r="K35" s="2">
        <v>567</v>
      </c>
      <c r="L35" t="s">
        <v>227</v>
      </c>
      <c r="M35" t="s">
        <v>313</v>
      </c>
      <c r="N35" t="s">
        <v>3</v>
      </c>
      <c r="O35" t="s">
        <v>4</v>
      </c>
      <c r="P35" t="s">
        <v>312</v>
      </c>
      <c r="Q35" t="s">
        <v>666</v>
      </c>
      <c r="R35" t="s">
        <v>334</v>
      </c>
      <c r="S35" s="33">
        <f>AVERAGE(Précipitation!AH5:AH10,Précipitation!AH12:AH17)</f>
        <v>2.35</v>
      </c>
      <c r="T35" s="33">
        <f>MAX(Précipitation!AH5:AH10,Précipitation!AH12:AH17)</f>
        <v>10.199999999999999</v>
      </c>
      <c r="U35" s="33">
        <f>AVERAGE(Température!BN5:BN10)</f>
        <v>20.46</v>
      </c>
      <c r="V35" s="33">
        <f>AVERAGE(Température!BO5:BO10)</f>
        <v>25.259999999999998</v>
      </c>
      <c r="W35">
        <v>303.10000000000002</v>
      </c>
      <c r="X35" t="s">
        <v>355</v>
      </c>
      <c r="Y35" t="s">
        <v>511</v>
      </c>
      <c r="Z35">
        <v>4257</v>
      </c>
      <c r="AA35">
        <v>4288</v>
      </c>
      <c r="AB35">
        <v>92.8</v>
      </c>
      <c r="AC35" s="3">
        <f t="shared" ref="AC35:AC52" si="1">(AD35/31416)</f>
        <v>2.5350140056022413E-2</v>
      </c>
      <c r="AD35">
        <f>354+41.9+13.8+322+64.7</f>
        <v>796.40000000000009</v>
      </c>
      <c r="AE35" s="39">
        <v>10</v>
      </c>
      <c r="AF35" s="39">
        <v>0</v>
      </c>
      <c r="AG35" s="39">
        <v>90</v>
      </c>
      <c r="AH35" s="39">
        <v>5</v>
      </c>
      <c r="AI35">
        <f>Feuil2!J35/Feuil2!K35</f>
        <v>0.2857142857142857</v>
      </c>
      <c r="AJ35">
        <f>Feuil2!J35+Feuil2!K35</f>
        <v>9</v>
      </c>
      <c r="AK35" s="2">
        <f>IF(COUNTIF(Feuil2!B204:B212,"Acridotheres tristis"),1,0)</f>
        <v>1</v>
      </c>
      <c r="AL35" s="2">
        <f>IF(COUNTIF(Feuil2!C204:C212,"Natif"),1,0)</f>
        <v>1</v>
      </c>
      <c r="AM35" s="2">
        <f>Feuil2!K35</f>
        <v>7</v>
      </c>
      <c r="AN35">
        <v>360</v>
      </c>
      <c r="AO35">
        <v>50</v>
      </c>
    </row>
    <row r="36" spans="1:42" x14ac:dyDescent="0.3">
      <c r="A36" t="s">
        <v>180</v>
      </c>
      <c r="B36" t="s">
        <v>167</v>
      </c>
      <c r="C36" t="s">
        <v>133</v>
      </c>
      <c r="D36" s="1">
        <v>45341</v>
      </c>
      <c r="E36" s="1">
        <v>45346</v>
      </c>
      <c r="F36" s="17">
        <f>AVERAGE(Soleil!$CW$5:$CW$10)</f>
        <v>0.2457175925925926</v>
      </c>
      <c r="G36" s="17">
        <f>AVERAGE(Soleil!$CX$5:$CX$10)</f>
        <v>0.76782407407407416</v>
      </c>
      <c r="H36" s="17">
        <f>AVERAGE(Soleil!$CY$5:$CY$10)</f>
        <v>0.52187499999999998</v>
      </c>
      <c r="I36" s="2" t="s">
        <v>181</v>
      </c>
      <c r="J36" s="2" t="s">
        <v>182</v>
      </c>
      <c r="K36" s="2">
        <v>515</v>
      </c>
      <c r="L36" t="s">
        <v>227</v>
      </c>
      <c r="M36" t="s">
        <v>313</v>
      </c>
      <c r="N36" t="s">
        <v>3</v>
      </c>
      <c r="O36" t="s">
        <v>4</v>
      </c>
      <c r="P36" t="s">
        <v>312</v>
      </c>
      <c r="Q36" t="s">
        <v>666</v>
      </c>
      <c r="R36" t="s">
        <v>334</v>
      </c>
      <c r="S36" s="33">
        <f>AVERAGE(Précipitation!AI5:AI10,Précipitation!AI12:AI17)</f>
        <v>2.35</v>
      </c>
      <c r="T36" s="33">
        <f>MAX(Précipitation!AI4:AI10,Précipitation!AI12:AI17)</f>
        <v>10.199999999999999</v>
      </c>
      <c r="U36" s="33">
        <f>AVERAGE(Température!BP5:BP10)</f>
        <v>20.46</v>
      </c>
      <c r="V36" s="33">
        <f>AVERAGE(Température!BQ5:BQ10)</f>
        <v>25.259999999999998</v>
      </c>
      <c r="W36">
        <v>303.8</v>
      </c>
      <c r="X36" t="s">
        <v>355</v>
      </c>
      <c r="Y36" t="s">
        <v>511</v>
      </c>
      <c r="Z36">
        <v>3961</v>
      </c>
      <c r="AA36">
        <v>3991</v>
      </c>
      <c r="AB36">
        <v>220</v>
      </c>
      <c r="AC36" s="3">
        <f t="shared" si="1"/>
        <v>1.3174815380697733E-2</v>
      </c>
      <c r="AD36">
        <f>51.3+58.9+89+24.8+35.2+10+31.7+113</f>
        <v>413.9</v>
      </c>
      <c r="AE36" s="39">
        <v>10</v>
      </c>
      <c r="AF36" s="39">
        <v>0</v>
      </c>
      <c r="AG36" s="39">
        <v>90</v>
      </c>
      <c r="AH36" s="39">
        <v>5</v>
      </c>
      <c r="AI36">
        <f>Feuil2!J36/Feuil2!K36</f>
        <v>0.33333333333333331</v>
      </c>
      <c r="AJ36">
        <f>Feuil2!J36+Feuil2!K36</f>
        <v>8</v>
      </c>
      <c r="AK36" s="2">
        <f>IF(COUNTIF(Feuil2!B213:B220,"Acridotheres tristis"),1,0)</f>
        <v>1</v>
      </c>
      <c r="AL36" s="2">
        <f>IF(COUNTIF(Feuil2!C213:C220,"Natif"),1,0)</f>
        <v>1</v>
      </c>
      <c r="AM36" s="2">
        <f>Feuil2!K36</f>
        <v>6</v>
      </c>
      <c r="AN36">
        <v>360</v>
      </c>
      <c r="AO36">
        <v>50</v>
      </c>
    </row>
    <row r="37" spans="1:42" x14ac:dyDescent="0.3">
      <c r="A37" t="s">
        <v>183</v>
      </c>
      <c r="B37" t="s">
        <v>171</v>
      </c>
      <c r="C37" t="s">
        <v>44</v>
      </c>
      <c r="D37" s="1">
        <v>45341</v>
      </c>
      <c r="E37" s="1">
        <v>45346</v>
      </c>
      <c r="F37" s="17">
        <f>AVERAGE(Soleil!$CZ$5:$CZ$10)</f>
        <v>0.2457175925925926</v>
      </c>
      <c r="G37" s="17">
        <f>AVERAGE(Soleil!$DA$5:$DA$10)</f>
        <v>0.76782407407407416</v>
      </c>
      <c r="H37" s="17">
        <f>AVERAGE(Soleil!$DB$5:$DB$10)</f>
        <v>0.52187499999999998</v>
      </c>
      <c r="I37" s="2" t="s">
        <v>184</v>
      </c>
      <c r="J37" s="2" t="s">
        <v>185</v>
      </c>
      <c r="K37" s="2">
        <v>451</v>
      </c>
      <c r="L37" t="s">
        <v>227</v>
      </c>
      <c r="M37" t="s">
        <v>313</v>
      </c>
      <c r="N37" t="s">
        <v>3</v>
      </c>
      <c r="O37" t="s">
        <v>4</v>
      </c>
      <c r="P37" t="s">
        <v>312</v>
      </c>
      <c r="Q37" t="s">
        <v>666</v>
      </c>
      <c r="R37" t="s">
        <v>334</v>
      </c>
      <c r="S37" s="33">
        <f>AVERAGE(Précipitation!AJ5:AJ10,Précipitation!AJ12:AJ17)</f>
        <v>2.35</v>
      </c>
      <c r="T37" s="33">
        <f>MAX(Précipitation!AJ5:AJ10,Précipitation!AJ12:AJ17)</f>
        <v>10.199999999999999</v>
      </c>
      <c r="U37" s="33">
        <f>AVERAGE(Température!BR5:BR10)</f>
        <v>20.46</v>
      </c>
      <c r="V37" s="33">
        <f>AVERAGE(Température!BS5:BS10)</f>
        <v>25.259999999999998</v>
      </c>
      <c r="W37">
        <v>304.60000000000002</v>
      </c>
      <c r="X37" t="s">
        <v>355</v>
      </c>
      <c r="Y37" t="s">
        <v>511</v>
      </c>
      <c r="Z37">
        <v>3617</v>
      </c>
      <c r="AA37">
        <v>3648</v>
      </c>
      <c r="AB37">
        <v>204</v>
      </c>
      <c r="AC37" s="3">
        <f t="shared" si="1"/>
        <v>1.3585434173669468E-2</v>
      </c>
      <c r="AD37">
        <f>119+17.2+155+29.8+19.7+46.6+39.5</f>
        <v>426.8</v>
      </c>
      <c r="AE37" s="39">
        <v>15</v>
      </c>
      <c r="AF37" s="39">
        <v>0</v>
      </c>
      <c r="AG37" s="39">
        <v>90</v>
      </c>
      <c r="AH37" s="39">
        <v>5</v>
      </c>
      <c r="AI37">
        <f>Feuil2!J37/Feuil2!K37</f>
        <v>0.1111111111111111</v>
      </c>
      <c r="AJ37">
        <f>Feuil2!J37+Feuil2!K37</f>
        <v>10</v>
      </c>
      <c r="AK37" s="2">
        <f>IF(COUNTIF(Feuil2!B221:B230,"Acridotheres tristis"),1,0)</f>
        <v>1</v>
      </c>
      <c r="AL37" s="2">
        <f>IF(COUNTIF(Feuil2!C221:C230,"Natif"),1,0)</f>
        <v>1</v>
      </c>
      <c r="AM37" s="2">
        <f>Feuil2!K37</f>
        <v>9</v>
      </c>
      <c r="AN37">
        <v>390</v>
      </c>
      <c r="AO37">
        <v>50</v>
      </c>
    </row>
    <row r="38" spans="1:42" x14ac:dyDescent="0.3">
      <c r="A38" t="s">
        <v>190</v>
      </c>
      <c r="B38" t="s">
        <v>186</v>
      </c>
      <c r="C38" t="s">
        <v>120</v>
      </c>
      <c r="D38" s="1">
        <v>45341</v>
      </c>
      <c r="E38" s="1">
        <v>45347</v>
      </c>
      <c r="F38" s="17">
        <f>AVERAGE(Soleil!$DC$5:$DC$10)</f>
        <v>0.2457175925925926</v>
      </c>
      <c r="G38" s="17">
        <f>AVERAGE(Soleil!$DD$5:$DD$10)</f>
        <v>0.76782407407407416</v>
      </c>
      <c r="H38" s="17">
        <f>AVERAGE(Soleil!$DE$5:$DE$10)</f>
        <v>0.52187499999999998</v>
      </c>
      <c r="I38" s="2" t="s">
        <v>188</v>
      </c>
      <c r="J38" s="2" t="s">
        <v>189</v>
      </c>
      <c r="K38" s="2">
        <v>408</v>
      </c>
      <c r="L38" t="s">
        <v>227</v>
      </c>
      <c r="M38" t="s">
        <v>313</v>
      </c>
      <c r="N38" t="s">
        <v>3</v>
      </c>
      <c r="O38" t="s">
        <v>4</v>
      </c>
      <c r="P38" t="s">
        <v>312</v>
      </c>
      <c r="Q38" t="s">
        <v>666</v>
      </c>
      <c r="R38" t="s">
        <v>334</v>
      </c>
      <c r="S38" s="33">
        <f>AVERAGE(Précipitation!AK5:AK10,Précipitation!AK12:AK17)</f>
        <v>2.35</v>
      </c>
      <c r="T38" s="33">
        <f>MAX(Précipitation!AK5:AK10,Précipitation!AK12:AK17)</f>
        <v>10.199999999999999</v>
      </c>
      <c r="U38" s="33">
        <f>AVERAGE(Température!BT5:BT11)</f>
        <v>20.599999999999998</v>
      </c>
      <c r="V38" s="33">
        <f>AVERAGE(Température!BU5:BU11)</f>
        <v>25.316666666666663</v>
      </c>
      <c r="W38">
        <v>305.8</v>
      </c>
      <c r="X38" t="s">
        <v>355</v>
      </c>
      <c r="Y38" t="s">
        <v>511</v>
      </c>
      <c r="Z38">
        <v>3139</v>
      </c>
      <c r="AA38">
        <v>3196</v>
      </c>
      <c r="AB38">
        <v>257</v>
      </c>
      <c r="AC38" s="3">
        <f t="shared" si="1"/>
        <v>3.106697224344283E-3</v>
      </c>
      <c r="AD38">
        <f>34.7+46.8+16.1</f>
        <v>97.6</v>
      </c>
      <c r="AE38" s="39">
        <v>30</v>
      </c>
      <c r="AF38" s="39">
        <v>0</v>
      </c>
      <c r="AG38" s="39">
        <v>80</v>
      </c>
      <c r="AH38" s="39">
        <v>5</v>
      </c>
      <c r="AI38">
        <f>Feuil2!J38/Feuil2!K38</f>
        <v>0.2857142857142857</v>
      </c>
      <c r="AJ38">
        <f>Feuil2!J38+Feuil2!K38</f>
        <v>9</v>
      </c>
      <c r="AK38" s="2">
        <f>IF(COUNTIF(Feuil2!B231:B239,"Acridotheres tristis"),1,0)</f>
        <v>1</v>
      </c>
      <c r="AL38" s="2">
        <f>IF(COUNTIF(Feuil2!C231:C239,"Natif"),1,0)</f>
        <v>1</v>
      </c>
      <c r="AM38" s="2">
        <f>Feuil2!K38</f>
        <v>7</v>
      </c>
      <c r="AN38">
        <v>390</v>
      </c>
      <c r="AO38">
        <v>50</v>
      </c>
    </row>
    <row r="39" spans="1:42" x14ac:dyDescent="0.3">
      <c r="A39" t="s">
        <v>191</v>
      </c>
      <c r="B39" t="s">
        <v>187</v>
      </c>
      <c r="C39" t="s">
        <v>21</v>
      </c>
      <c r="D39" s="1">
        <v>45341</v>
      </c>
      <c r="E39" s="1">
        <v>45347</v>
      </c>
      <c r="F39" s="17">
        <f>AVERAGE(Soleil!$DF$5:$DF$10)</f>
        <v>0.2457175925925926</v>
      </c>
      <c r="G39" s="17">
        <f>AVERAGE(Soleil!$DG$5:$DG$10)</f>
        <v>0.76782407407407416</v>
      </c>
      <c r="H39" s="17">
        <f>AVERAGE(Soleil!$DH$5:$DH$10)</f>
        <v>0.52187499999999998</v>
      </c>
      <c r="I39" s="2" t="s">
        <v>192</v>
      </c>
      <c r="J39" s="2" t="s">
        <v>193</v>
      </c>
      <c r="K39" s="2">
        <v>329</v>
      </c>
      <c r="L39" t="s">
        <v>227</v>
      </c>
      <c r="M39" t="s">
        <v>313</v>
      </c>
      <c r="N39" t="s">
        <v>3</v>
      </c>
      <c r="O39" t="s">
        <v>4</v>
      </c>
      <c r="P39" t="s">
        <v>310</v>
      </c>
      <c r="Q39" t="s">
        <v>666</v>
      </c>
      <c r="R39" t="s">
        <v>334</v>
      </c>
      <c r="S39" s="33">
        <f>AVERAGE(Précipitation!AL5:AL10,Précipitation!AL12:AL17)</f>
        <v>2.35</v>
      </c>
      <c r="T39" s="33">
        <f>MAX(Précipitation!AL5:AL10,Précipitation!AL12:AL17)</f>
        <v>10.199999999999999</v>
      </c>
      <c r="U39" s="33">
        <f>AVERAGE(Température!BV5:BV11)</f>
        <v>20.599999999999998</v>
      </c>
      <c r="V39" s="33">
        <f>AVERAGE(Température!BW5:BW11)</f>
        <v>25.316666666666663</v>
      </c>
      <c r="W39">
        <v>305.60000000000002</v>
      </c>
      <c r="X39" t="s">
        <v>355</v>
      </c>
      <c r="Y39" t="s">
        <v>511</v>
      </c>
      <c r="Z39">
        <v>2851</v>
      </c>
      <c r="AA39">
        <v>2968</v>
      </c>
      <c r="AB39">
        <v>127</v>
      </c>
      <c r="AC39" s="3">
        <f t="shared" si="1"/>
        <v>1.0450089126559715E-2</v>
      </c>
      <c r="AD39">
        <f>98.6+128+90.7+11</f>
        <v>328.3</v>
      </c>
      <c r="AE39" s="39">
        <v>60</v>
      </c>
      <c r="AF39" s="39">
        <v>10</v>
      </c>
      <c r="AG39" s="39">
        <v>40</v>
      </c>
      <c r="AH39" s="39">
        <v>0</v>
      </c>
      <c r="AI39">
        <f>Feuil2!J39/Feuil2!K39</f>
        <v>0.14285714285714285</v>
      </c>
      <c r="AJ39">
        <f>Feuil2!J39+Feuil2!K39</f>
        <v>8</v>
      </c>
      <c r="AK39" s="2">
        <f>IF(COUNTIF(Feuil2!B240:B247,"Acridotheres tristis"),1,0)</f>
        <v>1</v>
      </c>
      <c r="AL39" s="2">
        <f>IF(COUNTIF(Feuil2!C240:C247,"Natif"),1,0)</f>
        <v>1</v>
      </c>
      <c r="AM39" s="2">
        <f>Feuil2!K39</f>
        <v>7</v>
      </c>
      <c r="AN39">
        <v>370</v>
      </c>
      <c r="AO39">
        <v>50</v>
      </c>
    </row>
    <row r="40" spans="1:42" x14ac:dyDescent="0.3">
      <c r="A40" t="s">
        <v>194</v>
      </c>
      <c r="B40" t="s">
        <v>195</v>
      </c>
      <c r="C40" t="s">
        <v>110</v>
      </c>
      <c r="D40" s="1">
        <v>45337</v>
      </c>
      <c r="E40" s="1">
        <v>45342</v>
      </c>
      <c r="F40" s="17">
        <f>AVERAGE(Soleil!$DI$5:$DI$10)</f>
        <v>0.24467592592592591</v>
      </c>
      <c r="G40" s="17">
        <f>AVERAGE(Soleil!$DJ$5:$DJ$10)</f>
        <v>0.76967592592592593</v>
      </c>
      <c r="H40" s="17">
        <f>AVERAGE(Soleil!$DK$5:$DK$10)</f>
        <v>0.52465277777777775</v>
      </c>
      <c r="I40" s="2" t="s">
        <v>196</v>
      </c>
      <c r="J40" s="2" t="s">
        <v>197</v>
      </c>
      <c r="K40" s="2">
        <v>12</v>
      </c>
      <c r="L40" s="2" t="s">
        <v>229</v>
      </c>
      <c r="M40" t="s">
        <v>313</v>
      </c>
      <c r="N40" t="s">
        <v>3</v>
      </c>
      <c r="O40" t="s">
        <v>4</v>
      </c>
      <c r="P40" t="s">
        <v>310</v>
      </c>
      <c r="Q40" t="s">
        <v>667</v>
      </c>
      <c r="R40" t="s">
        <v>339</v>
      </c>
      <c r="S40" s="33">
        <f>AVERAGE(Précipitation!AM5:AM10,Précipitation!AM12:AM17,Précipitation!AM19:AM24)</f>
        <v>0.88888888888888884</v>
      </c>
      <c r="T40" s="33">
        <f>MAX(Précipitation!AM5:AM10,Précipitation!AM12:AM17,Précipitation!AM19:AM24)</f>
        <v>6.4</v>
      </c>
      <c r="U40" s="33">
        <f>AVERAGE(Température!BX5:BX10)</f>
        <v>23.883333333333329</v>
      </c>
      <c r="V40" s="33">
        <f>AVERAGE(Température!BY5:BY10)</f>
        <v>32.633333333333333</v>
      </c>
      <c r="W40">
        <v>161.80000000000001</v>
      </c>
      <c r="X40" t="s">
        <v>354</v>
      </c>
      <c r="Y40" t="s">
        <v>508</v>
      </c>
      <c r="Z40">
        <v>7307</v>
      </c>
      <c r="AA40">
        <v>66.400000000000006</v>
      </c>
      <c r="AB40">
        <v>16.100000000000001</v>
      </c>
      <c r="AC40" s="3">
        <f t="shared" si="1"/>
        <v>1.0035968933027755E-2</v>
      </c>
      <c r="AD40">
        <f>28+82.5+8.69+82.6+73.2+11.4+28.9</f>
        <v>315.28999999999996</v>
      </c>
      <c r="AE40" s="39">
        <v>50</v>
      </c>
      <c r="AF40" s="39">
        <v>40</v>
      </c>
      <c r="AG40" s="39">
        <v>10</v>
      </c>
      <c r="AH40" s="39">
        <v>5</v>
      </c>
      <c r="AI40">
        <f>Feuil2!J40/Feuil2!K40</f>
        <v>0</v>
      </c>
      <c r="AJ40">
        <f>Feuil2!J40+Feuil2!K40</f>
        <v>6</v>
      </c>
      <c r="AK40" s="2">
        <f>IF(COUNTIF(Feuil2!B248:B253,"Acridotheres tristis"),1,0)</f>
        <v>1</v>
      </c>
      <c r="AL40" s="2">
        <f>IF(COUNTIF(Feuil2!C248:C253,"Natif"),1,0)</f>
        <v>0</v>
      </c>
      <c r="AM40" s="2">
        <f>Feuil2!K40</f>
        <v>6</v>
      </c>
      <c r="AN40">
        <v>345</v>
      </c>
      <c r="AO40">
        <v>46</v>
      </c>
    </row>
    <row r="41" spans="1:42" x14ac:dyDescent="0.3">
      <c r="A41" t="s">
        <v>198</v>
      </c>
      <c r="B41" t="s">
        <v>199</v>
      </c>
      <c r="C41" t="s">
        <v>97</v>
      </c>
      <c r="D41" s="1">
        <v>45337</v>
      </c>
      <c r="E41" s="1">
        <v>45342</v>
      </c>
      <c r="F41" s="17">
        <f>AVERAGE(Soleil!$DL$5:$DL$10)</f>
        <v>0.24467592592592591</v>
      </c>
      <c r="G41" s="17">
        <f>AVERAGE(Soleil!$DM$5:$DM$10)</f>
        <v>0.76967592592592593</v>
      </c>
      <c r="H41" s="17">
        <f>AVERAGE(Soleil!$DN$5:$DN$10)</f>
        <v>0.52465277777777775</v>
      </c>
      <c r="I41" s="2" t="s">
        <v>200</v>
      </c>
      <c r="J41" s="2" t="s">
        <v>201</v>
      </c>
      <c r="K41" s="2">
        <v>18</v>
      </c>
      <c r="L41" s="2" t="s">
        <v>229</v>
      </c>
      <c r="M41" t="s">
        <v>313</v>
      </c>
      <c r="N41" t="s">
        <v>3</v>
      </c>
      <c r="O41" t="s">
        <v>4</v>
      </c>
      <c r="P41" t="s">
        <v>310</v>
      </c>
      <c r="Q41" t="s">
        <v>667</v>
      </c>
      <c r="R41" t="s">
        <v>339</v>
      </c>
      <c r="S41" s="33">
        <f>AVERAGE(Précipitation!AN5:AN10,Précipitation!AN12:AN17,Précipitation!AN19:AN24)</f>
        <v>0.88888888888888884</v>
      </c>
      <c r="T41" s="33">
        <f>MAX(Précipitation!AN5:AN10,Précipitation!AN12:AN17,Précipitation!AN19:AN24)</f>
        <v>6.4</v>
      </c>
      <c r="U41" s="33">
        <f>AVERAGE(Température!BZ5:BZ10)</f>
        <v>23.883333333333329</v>
      </c>
      <c r="V41" s="33">
        <f>AVERAGE(Température!CA5:CA10)</f>
        <v>32.633333333333333</v>
      </c>
      <c r="W41">
        <v>160.9</v>
      </c>
      <c r="X41" t="s">
        <v>354</v>
      </c>
      <c r="Y41" t="s">
        <v>508</v>
      </c>
      <c r="Z41">
        <v>7069</v>
      </c>
      <c r="AA41">
        <v>235</v>
      </c>
      <c r="AB41">
        <v>187</v>
      </c>
      <c r="AC41" s="3">
        <f t="shared" si="1"/>
        <v>2.7692895339954163E-3</v>
      </c>
      <c r="AD41">
        <v>87</v>
      </c>
      <c r="AE41" s="39">
        <v>50</v>
      </c>
      <c r="AF41" s="39">
        <v>50</v>
      </c>
      <c r="AG41" s="39">
        <v>50</v>
      </c>
      <c r="AH41" s="39">
        <v>0</v>
      </c>
      <c r="AI41">
        <f>Feuil2!J41/Feuil2!K41</f>
        <v>0.2</v>
      </c>
      <c r="AJ41">
        <f>Feuil2!J41+Feuil2!K41</f>
        <v>6</v>
      </c>
      <c r="AK41" s="2">
        <f>IF(COUNTIF(Feuil2!B254:B259,"Acridotheres tristis"),1,0)</f>
        <v>1</v>
      </c>
      <c r="AL41" s="2">
        <f>IF(COUNTIF(Feuil2!C254:C259,"Natif"),1,0)</f>
        <v>1</v>
      </c>
      <c r="AM41" s="2">
        <f>Feuil2!K41</f>
        <v>5</v>
      </c>
      <c r="AN41">
        <v>365</v>
      </c>
      <c r="AO41">
        <v>46</v>
      </c>
    </row>
    <row r="42" spans="1:42" x14ac:dyDescent="0.3">
      <c r="A42" t="s">
        <v>62</v>
      </c>
      <c r="B42" t="s">
        <v>32</v>
      </c>
      <c r="C42" t="s">
        <v>33</v>
      </c>
      <c r="D42" s="1">
        <v>45337</v>
      </c>
      <c r="E42" s="1">
        <v>45342</v>
      </c>
      <c r="F42" s="17">
        <f>AVERAGE(Soleil!$DO$5:$DO$10)</f>
        <v>0.24467592592592591</v>
      </c>
      <c r="G42" s="17">
        <f>AVERAGE(Soleil!$DP$5:$DP$10)</f>
        <v>0.76967592592592593</v>
      </c>
      <c r="H42" s="17">
        <f>AVERAGE(Soleil!$DQ$5:$DQ$10)</f>
        <v>0.52465277777777775</v>
      </c>
      <c r="I42" s="2" t="s">
        <v>34</v>
      </c>
      <c r="J42" s="2" t="s">
        <v>35</v>
      </c>
      <c r="K42" s="2">
        <v>19</v>
      </c>
      <c r="L42" s="2" t="s">
        <v>229</v>
      </c>
      <c r="M42" t="s">
        <v>313</v>
      </c>
      <c r="N42" t="s">
        <v>3</v>
      </c>
      <c r="O42" t="s">
        <v>4</v>
      </c>
      <c r="P42" t="s">
        <v>310</v>
      </c>
      <c r="Q42" t="s">
        <v>667</v>
      </c>
      <c r="R42" t="s">
        <v>339</v>
      </c>
      <c r="S42" s="33">
        <f>AVERAGE(Précipitation!AO5:AO10,Précipitation!AO12:AO17,Précipitation!AO19:AO24)</f>
        <v>0.88888888888888884</v>
      </c>
      <c r="T42" s="33">
        <f>MAX(Précipitation!AO5:AO10,Précipitation!AO12:AO17,Précipitation!AO19:AO24)</f>
        <v>6.4</v>
      </c>
      <c r="U42" s="33">
        <f>AVERAGE(Température!CB5:CB10)</f>
        <v>23.883333333333329</v>
      </c>
      <c r="V42" s="33">
        <f>AVERAGE(Température!CC5:CC10)</f>
        <v>32.633333333333333</v>
      </c>
      <c r="W42">
        <v>158.9</v>
      </c>
      <c r="X42" t="s">
        <v>354</v>
      </c>
      <c r="Y42" t="s">
        <v>508</v>
      </c>
      <c r="Z42">
        <v>7145</v>
      </c>
      <c r="AA42">
        <v>556</v>
      </c>
      <c r="AB42">
        <v>378</v>
      </c>
      <c r="AC42" s="3">
        <f t="shared" si="1"/>
        <v>0</v>
      </c>
      <c r="AD42">
        <v>0</v>
      </c>
      <c r="AE42" s="39">
        <v>60</v>
      </c>
      <c r="AF42" s="39">
        <v>50</v>
      </c>
      <c r="AG42" s="39">
        <v>40</v>
      </c>
      <c r="AH42" s="39">
        <v>0</v>
      </c>
      <c r="AI42">
        <f>Feuil2!J42/Feuil2!K42</f>
        <v>0</v>
      </c>
      <c r="AJ42">
        <f>Feuil2!J42+Feuil2!K42</f>
        <v>3</v>
      </c>
      <c r="AK42" s="2">
        <f>IF(COUNTIF(Feuil2!B260:B262,"Acridotheres tristis"),1,0)</f>
        <v>1</v>
      </c>
      <c r="AL42" s="2">
        <f>IF(COUNTIF(Feuil2!C260:C262,"Natif"),1,0)</f>
        <v>0</v>
      </c>
      <c r="AM42" s="2">
        <f>Feuil2!K42</f>
        <v>3</v>
      </c>
      <c r="AN42">
        <v>370</v>
      </c>
      <c r="AO42">
        <v>46</v>
      </c>
      <c r="AP42" t="s">
        <v>304</v>
      </c>
    </row>
    <row r="43" spans="1:42" ht="15.6" x14ac:dyDescent="0.3">
      <c r="A43" t="s">
        <v>567</v>
      </c>
      <c r="B43" t="s">
        <v>515</v>
      </c>
      <c r="C43" s="36" t="s">
        <v>115</v>
      </c>
      <c r="D43" s="1">
        <v>45337</v>
      </c>
      <c r="E43" s="1">
        <v>45343</v>
      </c>
      <c r="F43" s="17">
        <f>AVERAGE(Soleil!$DL$5:$DL$10)</f>
        <v>0.24467592592592591</v>
      </c>
      <c r="G43" s="17">
        <f>AVERAGE(Soleil!$DM$5:$DM$10)</f>
        <v>0.76967592592592593</v>
      </c>
      <c r="H43" s="17">
        <f>AVERAGE(Soleil!$D$5:$D$10)</f>
        <v>0.51631944444444444</v>
      </c>
      <c r="I43" s="2" t="s">
        <v>568</v>
      </c>
      <c r="J43" s="2" t="s">
        <v>569</v>
      </c>
      <c r="K43" s="2">
        <v>29</v>
      </c>
      <c r="L43" s="2" t="s">
        <v>229</v>
      </c>
      <c r="M43" t="s">
        <v>313</v>
      </c>
      <c r="N43" t="s">
        <v>3</v>
      </c>
      <c r="O43" t="s">
        <v>4</v>
      </c>
      <c r="P43" t="s">
        <v>310</v>
      </c>
      <c r="Q43" t="s">
        <v>667</v>
      </c>
      <c r="R43" t="s">
        <v>339</v>
      </c>
      <c r="S43" s="33">
        <f>AVERAGE(Précipitation!AY5:AY11,Précipitation!AY13:AY19,Précipitation!AY21:AY27)</f>
        <v>0.76190476190476186</v>
      </c>
      <c r="T43" s="33">
        <f>MAX(Précipitation!AY5:AY11,Précipitation!AY13:AY19,Précipitation!AY21:AY27)</f>
        <v>6.4</v>
      </c>
      <c r="U43" s="33">
        <f>AVERAGE(Température!CV5:CV11)</f>
        <v>23.771428571428569</v>
      </c>
      <c r="V43" s="33">
        <f>AVERAGE(Température!CW5:CW11)</f>
        <v>32.6</v>
      </c>
      <c r="W43">
        <v>156.19999999999999</v>
      </c>
      <c r="X43" t="s">
        <v>354</v>
      </c>
      <c r="Y43" t="s">
        <v>510</v>
      </c>
      <c r="Z43">
        <v>7340</v>
      </c>
      <c r="AA43">
        <v>978</v>
      </c>
      <c r="AB43">
        <v>552</v>
      </c>
      <c r="AC43" s="3">
        <f t="shared" si="1"/>
        <v>0</v>
      </c>
      <c r="AD43">
        <v>0</v>
      </c>
      <c r="AE43" s="39">
        <v>70</v>
      </c>
      <c r="AF43" s="39">
        <v>60</v>
      </c>
      <c r="AG43" s="39">
        <v>40</v>
      </c>
      <c r="AH43" s="39">
        <v>0</v>
      </c>
      <c r="AI43">
        <f>Feuil2!J52/Feuil2!K52</f>
        <v>0</v>
      </c>
      <c r="AJ43">
        <f>Feuil2!J52+Feuil2!K52</f>
        <v>8</v>
      </c>
      <c r="AK43" s="2">
        <f>IF(COUNTIF(Feuil2!B329:B336,"Acridotheres tristis"),1,0)</f>
        <v>1</v>
      </c>
      <c r="AL43" s="2">
        <f>IF(COUNTIF(Feuil2!C329:C336,"Natif"),1,0)</f>
        <v>0</v>
      </c>
      <c r="AM43" s="2">
        <f>Feuil2!K52</f>
        <v>8</v>
      </c>
      <c r="AN43">
        <v>300</v>
      </c>
      <c r="AO43">
        <v>46</v>
      </c>
    </row>
    <row r="44" spans="1:42" x14ac:dyDescent="0.3">
      <c r="A44" t="s">
        <v>202</v>
      </c>
      <c r="B44" t="s">
        <v>203</v>
      </c>
      <c r="C44" t="s">
        <v>204</v>
      </c>
      <c r="D44" s="1">
        <v>45341</v>
      </c>
      <c r="E44" s="1">
        <v>45347</v>
      </c>
      <c r="F44" s="17">
        <f>AVERAGE(Soleil!$DR$5:$DR$11)</f>
        <v>0.24603174603174599</v>
      </c>
      <c r="G44" s="17">
        <f>AVERAGE(Soleil!$DS$5:$DS$11)</f>
        <v>0.76775793650793656</v>
      </c>
      <c r="H44" s="17">
        <f>AVERAGE(Soleil!$DT$5:$DT$11)</f>
        <v>0.52152777777777781</v>
      </c>
      <c r="I44" s="2" t="s">
        <v>205</v>
      </c>
      <c r="J44" s="2" t="s">
        <v>206</v>
      </c>
      <c r="K44" s="2">
        <v>410</v>
      </c>
      <c r="L44" t="s">
        <v>344</v>
      </c>
      <c r="M44" t="s">
        <v>313</v>
      </c>
      <c r="N44" t="s">
        <v>3</v>
      </c>
      <c r="O44" t="s">
        <v>4</v>
      </c>
      <c r="P44" t="s">
        <v>312</v>
      </c>
      <c r="Q44" t="s">
        <v>666</v>
      </c>
      <c r="R44" t="s">
        <v>334</v>
      </c>
      <c r="S44" s="33">
        <f>AVERAGE(Précipitation!AP5:AP11,Précipitation!AP13:AP19)</f>
        <v>2.9285714285714284</v>
      </c>
      <c r="T44" s="33">
        <f>MAX(Précipitation!AP5:AP11,Précipitation!AP13:AP19)</f>
        <v>10.5</v>
      </c>
      <c r="U44" s="33">
        <f>AVERAGE(Température!CD5:CD11)</f>
        <v>20.599999999999998</v>
      </c>
      <c r="V44" s="33">
        <f>AVERAGE(Température!CE5:CE11)</f>
        <v>25.316666666666663</v>
      </c>
      <c r="W44">
        <v>294.2</v>
      </c>
      <c r="X44" t="s">
        <v>353</v>
      </c>
      <c r="Y44" t="s">
        <v>511</v>
      </c>
      <c r="Z44">
        <v>2575</v>
      </c>
      <c r="AA44">
        <v>2588</v>
      </c>
      <c r="AB44">
        <v>85.7</v>
      </c>
      <c r="AC44" s="3">
        <f t="shared" si="1"/>
        <v>0.19798510313216194</v>
      </c>
      <c r="AD44">
        <f>1316+1202+2038+42.9+1621</f>
        <v>6219.9</v>
      </c>
      <c r="AE44" s="39">
        <v>5</v>
      </c>
      <c r="AF44" s="39">
        <v>0</v>
      </c>
      <c r="AG44" s="39">
        <v>80</v>
      </c>
      <c r="AH44" s="39">
        <v>20</v>
      </c>
      <c r="AI44">
        <f>Feuil2!J43/Feuil2!K43</f>
        <v>0.14285714285714285</v>
      </c>
      <c r="AJ44">
        <f>Feuil2!J43+Feuil2!K43</f>
        <v>8</v>
      </c>
      <c r="AK44" s="2">
        <f>IF(COUNTIF(Feuil2!B263:B270,"Acridotheres tristis"),1,0)</f>
        <v>1</v>
      </c>
      <c r="AL44" s="2">
        <f>IF(COUNTIF(Feuil2!C263:C270,"Natif"),1,0)</f>
        <v>1</v>
      </c>
      <c r="AM44" s="2">
        <f>Feuil2!K43</f>
        <v>7</v>
      </c>
      <c r="AN44">
        <v>370</v>
      </c>
      <c r="AO44">
        <v>50</v>
      </c>
    </row>
    <row r="45" spans="1:42" x14ac:dyDescent="0.3">
      <c r="A45" t="s">
        <v>64</v>
      </c>
      <c r="B45" t="s">
        <v>40</v>
      </c>
      <c r="C45" t="s">
        <v>15</v>
      </c>
      <c r="D45" s="1">
        <v>45341</v>
      </c>
      <c r="E45" s="1">
        <v>45346</v>
      </c>
      <c r="F45" s="17">
        <f>AVERAGE(Soleil!$DU$5:$DU$10)</f>
        <v>0.24594907407407404</v>
      </c>
      <c r="G45" s="17">
        <f>AVERAGE(Soleil!$DV$5:$DV$10)</f>
        <v>0.76793981481481488</v>
      </c>
      <c r="H45" s="17">
        <f>AVERAGE(Soleil!$DW$5:$DW$10)</f>
        <v>0.52187499999999998</v>
      </c>
      <c r="I45" s="2" t="s">
        <v>41</v>
      </c>
      <c r="J45" s="2" t="s">
        <v>42</v>
      </c>
      <c r="K45" s="2">
        <v>437</v>
      </c>
      <c r="L45" t="s">
        <v>344</v>
      </c>
      <c r="M45" t="s">
        <v>313</v>
      </c>
      <c r="N45" t="s">
        <v>3</v>
      </c>
      <c r="O45" t="s">
        <v>4</v>
      </c>
      <c r="P45" t="s">
        <v>312</v>
      </c>
      <c r="Q45" t="s">
        <v>666</v>
      </c>
      <c r="R45" t="s">
        <v>334</v>
      </c>
      <c r="S45" s="33">
        <f>AVERAGE(Précipitation!AQ5:AQ10,Précipitation!AQ13:AQ18)</f>
        <v>2.35</v>
      </c>
      <c r="T45" s="33">
        <f>MAX(Précipitation!AQ5:AQ10,Précipitation!AQ13:AQ18)</f>
        <v>10.199999999999999</v>
      </c>
      <c r="U45" s="33">
        <f>AVERAGE(Température!CF5:CF10)</f>
        <v>20.46</v>
      </c>
      <c r="V45" s="33">
        <f>AVERAGE(Température!CG5:CG10)</f>
        <v>25.259999999999998</v>
      </c>
      <c r="W45">
        <v>293.8</v>
      </c>
      <c r="X45" t="s">
        <v>353</v>
      </c>
      <c r="Y45" t="s">
        <v>511</v>
      </c>
      <c r="Z45">
        <v>2874</v>
      </c>
      <c r="AA45">
        <v>2893</v>
      </c>
      <c r="AB45">
        <v>189</v>
      </c>
      <c r="AC45" s="3">
        <f t="shared" si="1"/>
        <v>4.004329004329004E-2</v>
      </c>
      <c r="AD45">
        <v>1258</v>
      </c>
      <c r="AE45" s="39">
        <v>5</v>
      </c>
      <c r="AF45" s="39">
        <v>0</v>
      </c>
      <c r="AG45" s="39">
        <v>90</v>
      </c>
      <c r="AH45" s="39">
        <v>5</v>
      </c>
      <c r="AI45">
        <f>Feuil2!J44/Feuil2!K44</f>
        <v>0.125</v>
      </c>
      <c r="AJ45">
        <f>Feuil2!J44+Feuil2!K44</f>
        <v>9</v>
      </c>
      <c r="AK45" s="2">
        <f>IF(COUNTIF(Feuil2!B271:B279,"Acridotheres tristis"),1,0)</f>
        <v>1</v>
      </c>
      <c r="AL45" s="2">
        <f>IF(COUNTIF(Feuil2!C271:C279,"Natif"),1,0)</f>
        <v>1</v>
      </c>
      <c r="AM45" s="2">
        <f>Feuil2!K44</f>
        <v>8</v>
      </c>
      <c r="AN45">
        <v>355</v>
      </c>
      <c r="AO45">
        <v>50</v>
      </c>
    </row>
    <row r="46" spans="1:42" x14ac:dyDescent="0.3">
      <c r="A46" t="s">
        <v>65</v>
      </c>
      <c r="B46" t="s">
        <v>47</v>
      </c>
      <c r="C46" t="s">
        <v>48</v>
      </c>
      <c r="D46" s="1">
        <v>45414</v>
      </c>
      <c r="E46" s="1">
        <v>45420</v>
      </c>
      <c r="F46" s="17">
        <f>AVERAGE(Soleil!$DX$5:$DX$11)</f>
        <v>0.25932539682539685</v>
      </c>
      <c r="G46" s="17">
        <f>AVERAGE(Soleil!$DY$5:$DY$11)</f>
        <v>0.73293650793650778</v>
      </c>
      <c r="H46" s="17">
        <f>AVERAGE(Soleil!$DZ$5:$DZ$11)</f>
        <v>0.4732142857142857</v>
      </c>
      <c r="I46" s="2" t="s">
        <v>49</v>
      </c>
      <c r="J46" s="2" t="s">
        <v>46</v>
      </c>
      <c r="K46" s="2">
        <v>254</v>
      </c>
      <c r="L46" t="s">
        <v>232</v>
      </c>
      <c r="M46" s="2" t="s">
        <v>314</v>
      </c>
      <c r="N46" t="s">
        <v>3</v>
      </c>
      <c r="O46" t="s">
        <v>4</v>
      </c>
      <c r="P46" t="s">
        <v>311</v>
      </c>
      <c r="Q46" t="s">
        <v>677</v>
      </c>
      <c r="R46" t="s">
        <v>346</v>
      </c>
      <c r="S46" s="33">
        <f>AVERAGE(Précipitation!AR5:AR11)</f>
        <v>0.48571428571428577</v>
      </c>
      <c r="T46" s="33">
        <f>MAX(Précipitation!AR5:AR11)</f>
        <v>3.1</v>
      </c>
      <c r="U46" s="33">
        <f>AVERAGE(Température!CH5:CH11)</f>
        <v>23.457142857142856</v>
      </c>
      <c r="V46" s="33">
        <f>AVERAGE(Température!CI5:CI11)</f>
        <v>31.457142857142859</v>
      </c>
      <c r="W46">
        <v>280.60000000000002</v>
      </c>
      <c r="X46" t="s">
        <v>356</v>
      </c>
      <c r="Y46" t="s">
        <v>508</v>
      </c>
      <c r="Z46">
        <v>1316</v>
      </c>
      <c r="AA46">
        <v>1819</v>
      </c>
      <c r="AB46">
        <v>27.3</v>
      </c>
      <c r="AC46" s="3">
        <f t="shared" si="1"/>
        <v>8.3511586452762937E-2</v>
      </c>
      <c r="AD46">
        <f>82.3+273+254+18.5+359+440+689+460+47.8</f>
        <v>2623.6000000000004</v>
      </c>
      <c r="AE46" s="39">
        <v>0</v>
      </c>
      <c r="AF46" s="39">
        <v>10</v>
      </c>
      <c r="AG46" s="39">
        <v>30</v>
      </c>
      <c r="AH46" s="39">
        <v>70</v>
      </c>
      <c r="AI46">
        <f>Feuil2!J45/Feuil2!K45</f>
        <v>0</v>
      </c>
      <c r="AJ46">
        <f>Feuil2!J45+Feuil2!K45</f>
        <v>6</v>
      </c>
      <c r="AK46" s="2">
        <f>IF(COUNTIF(Feuil2!B280:B285,"Acridotheres tristis"),1,0)</f>
        <v>1</v>
      </c>
      <c r="AL46" s="2">
        <f>IF(COUNTIF(Feuil2!C280:C285,"Natif"),1,0)</f>
        <v>0</v>
      </c>
      <c r="AM46" s="2">
        <f>Feuil2!K45</f>
        <v>6</v>
      </c>
      <c r="AN46">
        <v>365</v>
      </c>
      <c r="AO46">
        <v>123</v>
      </c>
    </row>
    <row r="47" spans="1:42" x14ac:dyDescent="0.3">
      <c r="A47" t="s">
        <v>207</v>
      </c>
      <c r="B47" t="s">
        <v>212</v>
      </c>
      <c r="C47" t="s">
        <v>133</v>
      </c>
      <c r="D47" s="1">
        <v>45392</v>
      </c>
      <c r="E47" s="1">
        <v>45397</v>
      </c>
      <c r="F47" s="17">
        <f>AVERAGE(Soleil!$EA$5:$EA$10)</f>
        <v>0.25532407407407404</v>
      </c>
      <c r="G47" s="17">
        <f>AVERAGE(Soleil!$EB$5:$EB$10)</f>
        <v>0.74224537037037042</v>
      </c>
      <c r="H47" s="17">
        <f>AVERAGE(Soleil!$EC$5:$EC$10)</f>
        <v>0.48645833333333327</v>
      </c>
      <c r="I47" s="2" t="s">
        <v>217</v>
      </c>
      <c r="J47" s="2" t="s">
        <v>221</v>
      </c>
      <c r="K47" s="2">
        <v>13</v>
      </c>
      <c r="L47" t="s">
        <v>345</v>
      </c>
      <c r="M47" s="2" t="s">
        <v>314</v>
      </c>
      <c r="N47" t="s">
        <v>3</v>
      </c>
      <c r="O47" t="s">
        <v>4</v>
      </c>
      <c r="P47" t="s">
        <v>311</v>
      </c>
      <c r="Q47" t="s">
        <v>677</v>
      </c>
      <c r="R47" t="s">
        <v>346</v>
      </c>
      <c r="S47" s="33">
        <f>AVERAGE(Précipitation!AS5:AS10)</f>
        <v>0.96666666666666667</v>
      </c>
      <c r="T47" s="33">
        <f>MAX(Précipitation!AS5:AS10)</f>
        <v>3.1</v>
      </c>
      <c r="U47" s="33">
        <f>AVERAGE(Température!CJ5:CJ10)</f>
        <v>24.433333333333334</v>
      </c>
      <c r="V47" s="33">
        <f>AVERAGE(Température!CK5:CK10)</f>
        <v>31.95</v>
      </c>
      <c r="W47">
        <v>273.7</v>
      </c>
      <c r="X47" t="s">
        <v>356</v>
      </c>
      <c r="Y47" t="s">
        <v>508</v>
      </c>
      <c r="Z47">
        <v>289</v>
      </c>
      <c r="AA47">
        <v>307</v>
      </c>
      <c r="AB47">
        <v>6.24</v>
      </c>
      <c r="AC47" s="3">
        <f t="shared" si="1"/>
        <v>0.82343391902215435</v>
      </c>
      <c r="AD47">
        <f>1004+17373+454+2611+4427</f>
        <v>25869</v>
      </c>
      <c r="AE47" s="39">
        <v>0</v>
      </c>
      <c r="AF47" s="39">
        <v>30</v>
      </c>
      <c r="AG47" s="39">
        <v>10</v>
      </c>
      <c r="AH47" s="39">
        <v>90</v>
      </c>
      <c r="AI47">
        <f>Feuil2!J46/Feuil2!K46</f>
        <v>0</v>
      </c>
      <c r="AJ47">
        <f>Feuil2!J46+Feuil2!K46</f>
        <v>7</v>
      </c>
      <c r="AK47" s="2">
        <f>IF(COUNTIF(Feuil2!B286:B292,"Acridotheres tristis"),1,0)</f>
        <v>1</v>
      </c>
      <c r="AL47" s="2">
        <f>IF(COUNTIF(Feuil2!C286:C292,"Natif"),1,0)</f>
        <v>0</v>
      </c>
      <c r="AM47" s="2">
        <f>Feuil2!K46</f>
        <v>7</v>
      </c>
      <c r="AN47">
        <v>375</v>
      </c>
      <c r="AO47">
        <v>101</v>
      </c>
    </row>
    <row r="48" spans="1:42" x14ac:dyDescent="0.3">
      <c r="A48" t="s">
        <v>208</v>
      </c>
      <c r="B48" t="s">
        <v>213</v>
      </c>
      <c r="C48" t="s">
        <v>142</v>
      </c>
      <c r="D48" s="1">
        <v>45392</v>
      </c>
      <c r="E48" s="1">
        <v>45393</v>
      </c>
      <c r="F48" s="17">
        <f>AVERAGE(Soleil!$ED$5:$ED$10)</f>
        <v>0.25486111111111109</v>
      </c>
      <c r="G48" s="17">
        <f>AVERAGE(Soleil!$EE$5:$EE$10)</f>
        <v>0.74340277777777786</v>
      </c>
      <c r="H48" s="17">
        <f>AVERAGE(Soleil!$EF$5:$EF$10)</f>
        <v>0.48784722222222221</v>
      </c>
      <c r="I48" s="2" t="s">
        <v>223</v>
      </c>
      <c r="J48" s="2" t="s">
        <v>224</v>
      </c>
      <c r="K48" s="2">
        <v>106</v>
      </c>
      <c r="L48" t="s">
        <v>345</v>
      </c>
      <c r="M48" s="2" t="s">
        <v>314</v>
      </c>
      <c r="N48" t="s">
        <v>3</v>
      </c>
      <c r="O48" t="s">
        <v>4</v>
      </c>
      <c r="P48" t="s">
        <v>311</v>
      </c>
      <c r="Q48" t="s">
        <v>677</v>
      </c>
      <c r="R48" t="s">
        <v>346</v>
      </c>
      <c r="S48" s="33">
        <f>AVERAGE(Précipitation!AT5:AT6)</f>
        <v>1.9</v>
      </c>
      <c r="T48" s="33">
        <f>MAX(Précipitation!AT5:AT6)</f>
        <v>3.1</v>
      </c>
      <c r="U48" s="33">
        <f>AVERAGE(Température!CL5:CL6)</f>
        <v>24.85</v>
      </c>
      <c r="V48" s="33">
        <f>AVERAGE(Température!CM5:CM6)</f>
        <v>31.8</v>
      </c>
      <c r="W48">
        <v>274.60000000000002</v>
      </c>
      <c r="X48" t="s">
        <v>356</v>
      </c>
      <c r="Y48" t="s">
        <v>508</v>
      </c>
      <c r="Z48">
        <v>297</v>
      </c>
      <c r="AA48">
        <v>932</v>
      </c>
      <c r="AB48">
        <v>17.3</v>
      </c>
      <c r="AC48" s="3">
        <f t="shared" si="1"/>
        <v>0.33003246753246751</v>
      </c>
      <c r="AD48">
        <f>6379+894+276+414+76+82.5+76+12.8+610+481+251+816</f>
        <v>10368.299999999999</v>
      </c>
      <c r="AE48" s="39">
        <v>30</v>
      </c>
      <c r="AF48" s="39">
        <v>10</v>
      </c>
      <c r="AG48" s="39">
        <v>10</v>
      </c>
      <c r="AH48" s="39">
        <v>40</v>
      </c>
      <c r="AI48">
        <f>Feuil2!J47/Feuil2!K47</f>
        <v>0</v>
      </c>
      <c r="AJ48">
        <f>Feuil2!J47+Feuil2!K47</f>
        <v>6</v>
      </c>
      <c r="AK48" s="2">
        <f>IF(COUNTIF(Feuil2!B293:B298,"Acridotheres tristis"),1,0)</f>
        <v>1</v>
      </c>
      <c r="AL48" s="2">
        <f>IF(COUNTIF(Feuil2!C293:C298,"Natif"),1,0)</f>
        <v>0</v>
      </c>
      <c r="AM48" s="2">
        <f>Feuil2!K47</f>
        <v>6</v>
      </c>
      <c r="AN48">
        <v>35</v>
      </c>
      <c r="AO48">
        <v>101</v>
      </c>
      <c r="AP48" t="s">
        <v>303</v>
      </c>
    </row>
    <row r="49" spans="1:41" x14ac:dyDescent="0.3">
      <c r="A49" t="s">
        <v>209</v>
      </c>
      <c r="B49" t="s">
        <v>214</v>
      </c>
      <c r="C49" t="s">
        <v>115</v>
      </c>
      <c r="D49" s="1">
        <v>45392</v>
      </c>
      <c r="E49" s="1">
        <v>45396</v>
      </c>
      <c r="F49" s="17">
        <f>AVERAGE(Soleil!$EG$5:$EG$10)</f>
        <v>0.25527777777777777</v>
      </c>
      <c r="G49" s="17">
        <f>AVERAGE(Soleil!$EH$5:$EH$10)</f>
        <v>0.74250000000000005</v>
      </c>
      <c r="H49" s="17">
        <f>AVERAGE(Soleil!$EI$5:$EI$12)</f>
        <v>0.48680555555555555</v>
      </c>
      <c r="I49" s="2" t="s">
        <v>218</v>
      </c>
      <c r="J49" s="2" t="s">
        <v>225</v>
      </c>
      <c r="K49" s="2">
        <v>187</v>
      </c>
      <c r="L49" t="s">
        <v>345</v>
      </c>
      <c r="M49" s="2" t="s">
        <v>314</v>
      </c>
      <c r="N49" t="s">
        <v>3</v>
      </c>
      <c r="O49" t="s">
        <v>4</v>
      </c>
      <c r="P49" t="s">
        <v>311</v>
      </c>
      <c r="Q49" t="s">
        <v>677</v>
      </c>
      <c r="R49" t="s">
        <v>346</v>
      </c>
      <c r="S49" s="33">
        <f>AVERAGE(Précipitation!AU5:AU9)</f>
        <v>0.76</v>
      </c>
      <c r="T49" s="33">
        <f>MAX(Précipitation!AU5:AU9)</f>
        <v>3.1</v>
      </c>
      <c r="U49" s="33">
        <f>AVERAGE(Température!CN5:CN9)</f>
        <v>24.34</v>
      </c>
      <c r="V49" s="33">
        <f>AVERAGE(Température!CO5:CO9)</f>
        <v>32.14</v>
      </c>
      <c r="W49">
        <v>275.2</v>
      </c>
      <c r="X49" t="s">
        <v>356</v>
      </c>
      <c r="Y49" t="s">
        <v>508</v>
      </c>
      <c r="Z49">
        <v>799</v>
      </c>
      <c r="AA49">
        <v>1438</v>
      </c>
      <c r="AB49">
        <v>34.5</v>
      </c>
      <c r="AC49" s="3">
        <f t="shared" si="1"/>
        <v>0.36791762159409219</v>
      </c>
      <c r="AD49">
        <f>3453+7608+66.4+306+29.5+95.6</f>
        <v>11558.5</v>
      </c>
      <c r="AE49" s="39">
        <v>0</v>
      </c>
      <c r="AF49" s="39">
        <v>10</v>
      </c>
      <c r="AG49" s="39">
        <v>80</v>
      </c>
      <c r="AH49" s="39">
        <v>20</v>
      </c>
      <c r="AI49">
        <f>Feuil2!J48/Feuil2!K48</f>
        <v>0</v>
      </c>
      <c r="AJ49">
        <f>Feuil2!J48+Feuil2!K48</f>
        <v>7</v>
      </c>
      <c r="AK49" s="2">
        <f>IF(COUNTIF(Feuil2!B299:B305,"Acridotheres tristis"),1,0)</f>
        <v>1</v>
      </c>
      <c r="AL49" s="2">
        <f>IF(COUNTIF(Feuil2!C299:C305,"Natif"),1,0)</f>
        <v>0</v>
      </c>
      <c r="AM49" s="2">
        <f>Feuil2!K48</f>
        <v>7</v>
      </c>
      <c r="AN49">
        <v>290</v>
      </c>
      <c r="AO49">
        <v>101</v>
      </c>
    </row>
    <row r="50" spans="1:41" x14ac:dyDescent="0.3">
      <c r="A50" t="s">
        <v>66</v>
      </c>
      <c r="B50" t="s">
        <v>43</v>
      </c>
      <c r="C50" t="s">
        <v>44</v>
      </c>
      <c r="D50" s="1">
        <v>45392</v>
      </c>
      <c r="E50" s="1">
        <v>45399</v>
      </c>
      <c r="F50" s="17">
        <f>AVERAGE(Soleil!$EJ$5:$EJ$12)</f>
        <v>0.25546874999999997</v>
      </c>
      <c r="G50" s="17">
        <f>AVERAGE(Soleil!$EK$5:$EK$12)</f>
        <v>0.74175347222222232</v>
      </c>
      <c r="H50" s="17">
        <f>AVERAGE(Soleil!$EL$5:$EL$12)</f>
        <v>0.48585069444444445</v>
      </c>
      <c r="I50" s="2" t="s">
        <v>45</v>
      </c>
      <c r="J50" s="2" t="s">
        <v>46</v>
      </c>
      <c r="K50" s="2">
        <v>252</v>
      </c>
      <c r="L50" t="s">
        <v>345</v>
      </c>
      <c r="M50" s="2" t="s">
        <v>314</v>
      </c>
      <c r="N50" t="s">
        <v>3</v>
      </c>
      <c r="O50" t="s">
        <v>4</v>
      </c>
      <c r="P50" t="s">
        <v>311</v>
      </c>
      <c r="Q50" t="s">
        <v>677</v>
      </c>
      <c r="R50" t="s">
        <v>346</v>
      </c>
      <c r="S50" s="33">
        <f>AVERAGE(Précipitation!AV5:AV12)</f>
        <v>2.0249999999999999</v>
      </c>
      <c r="T50" s="33">
        <f>MAX(Précipitation!AV5:AV12)</f>
        <v>10</v>
      </c>
      <c r="U50" s="33">
        <f>AVERAGE(Température!CP5:CP12)</f>
        <v>24.45</v>
      </c>
      <c r="V50" s="33">
        <f>AVERAGE(Température!CQ5:CQ12)</f>
        <v>31.662499999999998</v>
      </c>
      <c r="W50">
        <v>275.39999999999998</v>
      </c>
      <c r="X50" t="s">
        <v>356</v>
      </c>
      <c r="Y50" t="s">
        <v>508</v>
      </c>
      <c r="Z50">
        <v>1215</v>
      </c>
      <c r="AA50">
        <v>1842</v>
      </c>
      <c r="AB50">
        <v>9.3000000000000007</v>
      </c>
      <c r="AC50" s="3">
        <f t="shared" si="1"/>
        <v>0.39698242933537053</v>
      </c>
      <c r="AD50">
        <f>10.3+247+548+60.4+1172+298+831+211+122+4743+1061+231+60.9+659+513+901+290+513</f>
        <v>12471.6</v>
      </c>
      <c r="AE50" s="39">
        <v>0</v>
      </c>
      <c r="AF50" s="39">
        <v>30</v>
      </c>
      <c r="AG50" s="39">
        <v>10</v>
      </c>
      <c r="AH50" s="39">
        <v>70</v>
      </c>
      <c r="AI50">
        <f>Feuil2!J49/Feuil2!K49</f>
        <v>0.14285714285714285</v>
      </c>
      <c r="AJ50">
        <f>Feuil2!J49+Feuil2!K49</f>
        <v>8</v>
      </c>
      <c r="AK50" s="2">
        <f>IF(COUNTIF(Feuil2!B306:B313,"Acridotheres tristis"),1,0)</f>
        <v>1</v>
      </c>
      <c r="AL50" s="2">
        <f>IF(COUNTIF(Feuil2!C306:C313,"Natif"),1,0)</f>
        <v>1</v>
      </c>
      <c r="AM50" s="2">
        <f>Feuil2!K49</f>
        <v>7</v>
      </c>
      <c r="AN50">
        <v>390</v>
      </c>
      <c r="AO50">
        <v>101</v>
      </c>
    </row>
    <row r="51" spans="1:41" x14ac:dyDescent="0.3">
      <c r="A51" t="s">
        <v>210</v>
      </c>
      <c r="B51" t="s">
        <v>215</v>
      </c>
      <c r="C51" t="s">
        <v>204</v>
      </c>
      <c r="D51" s="1">
        <v>45392</v>
      </c>
      <c r="E51" s="1">
        <v>45398</v>
      </c>
      <c r="F51" s="17">
        <f>AVERAGE(Soleil!$EM$5:$EM$11)</f>
        <v>0.25535714285714284</v>
      </c>
      <c r="G51" s="17">
        <f>AVERAGE(Soleil!$EN$5:$EN$11)</f>
        <v>0.74196428571428574</v>
      </c>
      <c r="H51" s="17">
        <f>AVERAGE(Soleil!$EO$5:$EO$11)</f>
        <v>0.4861111111111111</v>
      </c>
      <c r="I51" s="2" t="s">
        <v>219</v>
      </c>
      <c r="J51" s="2" t="s">
        <v>226</v>
      </c>
      <c r="K51" s="2">
        <v>313</v>
      </c>
      <c r="L51" t="s">
        <v>345</v>
      </c>
      <c r="M51" s="2" t="s">
        <v>314</v>
      </c>
      <c r="N51" t="s">
        <v>3</v>
      </c>
      <c r="O51" t="s">
        <v>4</v>
      </c>
      <c r="P51" t="s">
        <v>311</v>
      </c>
      <c r="Q51" t="s">
        <v>677</v>
      </c>
      <c r="R51" t="s">
        <v>346</v>
      </c>
      <c r="S51" s="33">
        <f>AVERAGE(Précipitation!AW5:AW11)</f>
        <v>2.2571428571428571</v>
      </c>
      <c r="T51" s="33">
        <f>MAX(Précipitation!AW5:AW11)</f>
        <v>10</v>
      </c>
      <c r="U51" s="33">
        <f>AVERAGE(Température!CR5:CR11)</f>
        <v>24.428571428571427</v>
      </c>
      <c r="V51" s="33">
        <f>AVERAGE(Température!CS5:CS11)</f>
        <v>31.685714285714283</v>
      </c>
      <c r="W51">
        <v>276.3</v>
      </c>
      <c r="X51" t="s">
        <v>356</v>
      </c>
      <c r="Y51" t="s">
        <v>508</v>
      </c>
      <c r="Z51">
        <v>1578</v>
      </c>
      <c r="AA51">
        <v>2222</v>
      </c>
      <c r="AB51">
        <v>19.7</v>
      </c>
      <c r="AC51" s="3">
        <f t="shared" si="1"/>
        <v>0.19789279348102878</v>
      </c>
      <c r="AD51">
        <f>166+1955+16.9+167+65.5+67.1+170+975+92.6+212+1601+664+64.9</f>
        <v>6217</v>
      </c>
      <c r="AE51" s="39">
        <v>0</v>
      </c>
      <c r="AF51" s="39">
        <v>40</v>
      </c>
      <c r="AG51" s="39">
        <v>40</v>
      </c>
      <c r="AH51" s="39">
        <v>20</v>
      </c>
      <c r="AI51">
        <f>Feuil2!J50/Feuil2!K50</f>
        <v>0.14285714285714285</v>
      </c>
      <c r="AJ51">
        <f>Feuil2!J50+Feuil2!K50</f>
        <v>8</v>
      </c>
      <c r="AK51" s="2">
        <f>IF(COUNTIF(Feuil2!B314:B321,"Acridotheres tristis"),1,0)</f>
        <v>1</v>
      </c>
      <c r="AL51" s="2">
        <f>IF(COUNTIF(Feuil2!C314:C321,"Natif"),1,0)</f>
        <v>1</v>
      </c>
      <c r="AM51" s="2">
        <f>Feuil2!K50</f>
        <v>7</v>
      </c>
      <c r="AN51">
        <v>375</v>
      </c>
      <c r="AO51">
        <v>101</v>
      </c>
    </row>
    <row r="52" spans="1:41" x14ac:dyDescent="0.3">
      <c r="A52" t="s">
        <v>211</v>
      </c>
      <c r="B52" t="s">
        <v>216</v>
      </c>
      <c r="C52" t="s">
        <v>120</v>
      </c>
      <c r="D52" s="1">
        <v>45392</v>
      </c>
      <c r="E52" s="1">
        <v>45398</v>
      </c>
      <c r="F52" s="17">
        <f>AVERAGE(Soleil!$EP$5:$EP$11)</f>
        <v>0.25535714285714284</v>
      </c>
      <c r="G52" s="17">
        <f>AVERAGE(Soleil!$EQ$5:$EQ$11)</f>
        <v>0.74196428571428574</v>
      </c>
      <c r="H52" s="17">
        <f>AVERAGE(Soleil!$ER$5:$ER$11)</f>
        <v>0.4861111111111111</v>
      </c>
      <c r="I52" s="2" t="s">
        <v>220</v>
      </c>
      <c r="J52" s="2" t="s">
        <v>222</v>
      </c>
      <c r="K52" s="2">
        <v>449</v>
      </c>
      <c r="L52" t="s">
        <v>345</v>
      </c>
      <c r="M52" s="2" t="s">
        <v>314</v>
      </c>
      <c r="N52" t="s">
        <v>3</v>
      </c>
      <c r="O52" t="s">
        <v>4</v>
      </c>
      <c r="P52" t="s">
        <v>311</v>
      </c>
      <c r="Q52" t="s">
        <v>677</v>
      </c>
      <c r="R52" t="s">
        <v>346</v>
      </c>
      <c r="S52" s="33">
        <f>AVERAGE(Précipitation!AX5:AX11)</f>
        <v>2.2571428571428571</v>
      </c>
      <c r="T52" s="33">
        <f>MAX(Précipitation!AX5:AX11)</f>
        <v>10</v>
      </c>
      <c r="U52" s="33">
        <f>AVERAGE(Température!CT5:CT11)</f>
        <v>24.428571428571427</v>
      </c>
      <c r="V52" s="33">
        <f>AVERAGE(Température!CU5:CU11)</f>
        <v>31.685714285714283</v>
      </c>
      <c r="W52">
        <v>276.7</v>
      </c>
      <c r="X52" t="s">
        <v>356</v>
      </c>
      <c r="Y52" t="s">
        <v>509</v>
      </c>
      <c r="Z52">
        <v>2065</v>
      </c>
      <c r="AA52">
        <v>2696</v>
      </c>
      <c r="AB52">
        <v>19.8</v>
      </c>
      <c r="AC52" s="3">
        <f t="shared" si="1"/>
        <v>0.25339635854341735</v>
      </c>
      <c r="AD52">
        <f>201+7695+64.7</f>
        <v>7960.7</v>
      </c>
      <c r="AE52" s="39">
        <v>0</v>
      </c>
      <c r="AF52" s="39">
        <v>40</v>
      </c>
      <c r="AG52" s="39">
        <v>30</v>
      </c>
      <c r="AH52" s="39">
        <v>70</v>
      </c>
      <c r="AI52">
        <f>Feuil2!J51/Feuil2!K51</f>
        <v>0</v>
      </c>
      <c r="AJ52">
        <f>Feuil2!J51+Feuil2!K51</f>
        <v>7</v>
      </c>
      <c r="AK52" s="2">
        <f>IF(COUNTIF(Feuil2!B322:B328,"Acridotheres tristis"),1,0)</f>
        <v>0</v>
      </c>
      <c r="AL52" s="2">
        <f>IF(COUNTIF(Feuil2!C322:C328,"Natif"),1,0)</f>
        <v>0</v>
      </c>
      <c r="AM52" s="2">
        <f>Feuil2!K51</f>
        <v>7</v>
      </c>
      <c r="AN52">
        <v>375</v>
      </c>
      <c r="AO52">
        <v>101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8823-4965-4604-836F-3D6F0329A500}">
  <dimension ref="A1:L39"/>
  <sheetViews>
    <sheetView workbookViewId="0">
      <selection activeCell="E14" sqref="E14"/>
    </sheetView>
  </sheetViews>
  <sheetFormatPr baseColWidth="10" defaultRowHeight="14.4" x14ac:dyDescent="0.3"/>
  <cols>
    <col min="1" max="1" width="14.44140625" customWidth="1"/>
    <col min="2" max="2" width="23.33203125" customWidth="1"/>
    <col min="11" max="11" width="20" customWidth="1"/>
    <col min="12" max="12" width="32.109375" customWidth="1"/>
  </cols>
  <sheetData>
    <row r="1" spans="1:12" x14ac:dyDescent="0.3">
      <c r="A1" t="s">
        <v>594</v>
      </c>
      <c r="B1" t="s">
        <v>595</v>
      </c>
      <c r="C1" t="s">
        <v>596</v>
      </c>
      <c r="K1" s="44" t="s">
        <v>657</v>
      </c>
      <c r="L1" s="45"/>
    </row>
    <row r="2" spans="1:12" x14ac:dyDescent="0.3">
      <c r="A2" s="34" t="s">
        <v>52</v>
      </c>
      <c r="B2" t="s">
        <v>52</v>
      </c>
      <c r="C2" t="s">
        <v>597</v>
      </c>
      <c r="K2" s="41" t="s">
        <v>504</v>
      </c>
      <c r="L2" s="42" t="s">
        <v>603</v>
      </c>
    </row>
    <row r="3" spans="1:12" x14ac:dyDescent="0.3">
      <c r="A3" s="34" t="s">
        <v>14</v>
      </c>
      <c r="B3" t="s">
        <v>261</v>
      </c>
      <c r="C3" t="s">
        <v>598</v>
      </c>
      <c r="K3" s="41" t="s">
        <v>505</v>
      </c>
      <c r="L3" s="42" t="s">
        <v>604</v>
      </c>
    </row>
    <row r="4" spans="1:12" x14ac:dyDescent="0.3">
      <c r="A4" s="34" t="s">
        <v>7</v>
      </c>
      <c r="B4" t="s">
        <v>599</v>
      </c>
      <c r="C4" t="s">
        <v>600</v>
      </c>
      <c r="K4" s="41" t="s">
        <v>506</v>
      </c>
      <c r="L4" s="42" t="s">
        <v>605</v>
      </c>
    </row>
    <row r="5" spans="1:12" x14ac:dyDescent="0.3">
      <c r="A5" s="34" t="s">
        <v>8</v>
      </c>
      <c r="B5" t="s">
        <v>8</v>
      </c>
      <c r="C5" t="s">
        <v>601</v>
      </c>
      <c r="K5" s="41" t="s">
        <v>577</v>
      </c>
      <c r="L5" s="42" t="s">
        <v>611</v>
      </c>
    </row>
    <row r="6" spans="1:12" x14ac:dyDescent="0.3">
      <c r="A6" s="34" t="s">
        <v>9</v>
      </c>
      <c r="B6" t="s">
        <v>9</v>
      </c>
      <c r="C6" t="s">
        <v>602</v>
      </c>
      <c r="K6" s="41" t="s">
        <v>51</v>
      </c>
      <c r="L6" s="42" t="s">
        <v>51</v>
      </c>
    </row>
    <row r="7" spans="1:12" x14ac:dyDescent="0.3">
      <c r="A7" s="34" t="s">
        <v>504</v>
      </c>
      <c r="B7" t="s">
        <v>603</v>
      </c>
      <c r="C7" t="s">
        <v>606</v>
      </c>
      <c r="K7" s="41" t="s">
        <v>578</v>
      </c>
      <c r="L7" s="42" t="s">
        <v>308</v>
      </c>
    </row>
    <row r="8" spans="1:12" x14ac:dyDescent="0.3">
      <c r="A8" s="34" t="s">
        <v>505</v>
      </c>
      <c r="B8" t="s">
        <v>604</v>
      </c>
      <c r="C8" t="s">
        <v>607</v>
      </c>
      <c r="K8" s="43" t="s">
        <v>581</v>
      </c>
      <c r="L8" s="42" t="s">
        <v>620</v>
      </c>
    </row>
    <row r="9" spans="1:12" x14ac:dyDescent="0.3">
      <c r="A9" s="34" t="s">
        <v>506</v>
      </c>
      <c r="B9" t="s">
        <v>605</v>
      </c>
      <c r="C9" t="s">
        <v>608</v>
      </c>
      <c r="K9" s="43" t="s">
        <v>580</v>
      </c>
      <c r="L9" s="42" t="s">
        <v>622</v>
      </c>
    </row>
    <row r="10" spans="1:12" x14ac:dyDescent="0.3">
      <c r="A10" s="34" t="s">
        <v>10</v>
      </c>
      <c r="B10" t="s">
        <v>10</v>
      </c>
      <c r="C10" t="s">
        <v>609</v>
      </c>
      <c r="K10" s="43" t="s">
        <v>579</v>
      </c>
      <c r="L10" s="42" t="s">
        <v>625</v>
      </c>
    </row>
    <row r="11" spans="1:12" x14ac:dyDescent="0.3">
      <c r="A11" s="34" t="s">
        <v>11</v>
      </c>
      <c r="B11" t="s">
        <v>11</v>
      </c>
      <c r="C11" t="s">
        <v>610</v>
      </c>
      <c r="K11" s="43" t="s">
        <v>582</v>
      </c>
      <c r="L11" s="42" t="s">
        <v>628</v>
      </c>
    </row>
    <row r="12" spans="1:12" x14ac:dyDescent="0.3">
      <c r="A12" s="34" t="s">
        <v>577</v>
      </c>
      <c r="B12" t="s">
        <v>611</v>
      </c>
      <c r="C12" t="s">
        <v>612</v>
      </c>
      <c r="K12" s="41" t="s">
        <v>583</v>
      </c>
      <c r="L12" s="42" t="s">
        <v>352</v>
      </c>
    </row>
    <row r="13" spans="1:12" x14ac:dyDescent="0.3">
      <c r="A13" s="34" t="s">
        <v>51</v>
      </c>
      <c r="B13" t="s">
        <v>51</v>
      </c>
      <c r="C13" t="s">
        <v>613</v>
      </c>
      <c r="K13" s="41" t="s">
        <v>584</v>
      </c>
      <c r="L13" s="42" t="s">
        <v>347</v>
      </c>
    </row>
    <row r="14" spans="1:12" x14ac:dyDescent="0.3">
      <c r="A14" s="34" t="s">
        <v>315</v>
      </c>
      <c r="B14" t="s">
        <v>614</v>
      </c>
      <c r="C14" t="s">
        <v>615</v>
      </c>
      <c r="K14" s="41" t="s">
        <v>585</v>
      </c>
      <c r="L14" s="42" t="s">
        <v>631</v>
      </c>
    </row>
    <row r="15" spans="1:12" x14ac:dyDescent="0.3">
      <c r="A15" s="34" t="s">
        <v>5</v>
      </c>
      <c r="B15" t="s">
        <v>5</v>
      </c>
      <c r="C15" t="s">
        <v>616</v>
      </c>
      <c r="K15" s="41" t="s">
        <v>586</v>
      </c>
      <c r="L15" s="42" t="s">
        <v>633</v>
      </c>
    </row>
    <row r="16" spans="1:12" x14ac:dyDescent="0.3">
      <c r="A16" s="34" t="s">
        <v>6</v>
      </c>
      <c r="B16" t="s">
        <v>6</v>
      </c>
      <c r="C16" t="s">
        <v>617</v>
      </c>
      <c r="K16" s="41" t="s">
        <v>587</v>
      </c>
      <c r="L16" s="42" t="s">
        <v>318</v>
      </c>
    </row>
    <row r="17" spans="1:12" x14ac:dyDescent="0.3">
      <c r="A17" s="34" t="s">
        <v>578</v>
      </c>
      <c r="B17" t="s">
        <v>308</v>
      </c>
      <c r="C17" t="s">
        <v>618</v>
      </c>
      <c r="K17" s="41" t="s">
        <v>588</v>
      </c>
      <c r="L17" s="42" t="s">
        <v>636</v>
      </c>
    </row>
    <row r="18" spans="1:12" x14ac:dyDescent="0.3">
      <c r="A18" s="34" t="s">
        <v>342</v>
      </c>
      <c r="B18" t="s">
        <v>619</v>
      </c>
      <c r="C18" t="s">
        <v>621</v>
      </c>
      <c r="K18" s="41" t="s">
        <v>12</v>
      </c>
      <c r="L18" s="42" t="s">
        <v>638</v>
      </c>
    </row>
    <row r="19" spans="1:12" x14ac:dyDescent="0.3">
      <c r="A19" s="38" t="s">
        <v>581</v>
      </c>
      <c r="B19" t="s">
        <v>620</v>
      </c>
      <c r="C19" t="s">
        <v>623</v>
      </c>
      <c r="K19" s="41" t="s">
        <v>589</v>
      </c>
      <c r="L19" s="42" t="s">
        <v>575</v>
      </c>
    </row>
    <row r="20" spans="1:12" x14ac:dyDescent="0.3">
      <c r="A20" s="38" t="s">
        <v>580</v>
      </c>
      <c r="B20" t="s">
        <v>622</v>
      </c>
      <c r="C20" t="s">
        <v>624</v>
      </c>
      <c r="K20" s="41" t="s">
        <v>590</v>
      </c>
      <c r="L20" s="42" t="s">
        <v>576</v>
      </c>
    </row>
    <row r="21" spans="1:12" x14ac:dyDescent="0.3">
      <c r="A21" s="38" t="s">
        <v>579</v>
      </c>
      <c r="B21" t="s">
        <v>625</v>
      </c>
      <c r="C21" t="s">
        <v>627</v>
      </c>
      <c r="K21" s="41" t="s">
        <v>591</v>
      </c>
      <c r="L21" s="42" t="s">
        <v>642</v>
      </c>
    </row>
    <row r="22" spans="1:12" x14ac:dyDescent="0.3">
      <c r="A22" s="38" t="s">
        <v>582</v>
      </c>
      <c r="B22" t="s">
        <v>628</v>
      </c>
      <c r="C22" t="s">
        <v>626</v>
      </c>
      <c r="K22" s="41" t="s">
        <v>592</v>
      </c>
      <c r="L22" s="42" t="s">
        <v>659</v>
      </c>
    </row>
    <row r="23" spans="1:12" x14ac:dyDescent="0.3">
      <c r="A23" s="34" t="s">
        <v>583</v>
      </c>
      <c r="B23" t="s">
        <v>352</v>
      </c>
      <c r="C23" t="s">
        <v>629</v>
      </c>
      <c r="K23" s="41" t="s">
        <v>13</v>
      </c>
      <c r="L23" s="42" t="s">
        <v>648</v>
      </c>
    </row>
    <row r="24" spans="1:12" x14ac:dyDescent="0.3">
      <c r="A24" s="34" t="s">
        <v>584</v>
      </c>
      <c r="B24" t="s">
        <v>347</v>
      </c>
      <c r="C24" t="s">
        <v>630</v>
      </c>
      <c r="K24" s="41" t="s">
        <v>305</v>
      </c>
      <c r="L24" s="42" t="s">
        <v>650</v>
      </c>
    </row>
    <row r="25" spans="1:12" x14ac:dyDescent="0.3">
      <c r="A25" s="34" t="s">
        <v>585</v>
      </c>
      <c r="B25" t="s">
        <v>631</v>
      </c>
      <c r="C25" t="s">
        <v>632</v>
      </c>
      <c r="K25" s="41" t="s">
        <v>593</v>
      </c>
      <c r="L25" s="42" t="s">
        <v>658</v>
      </c>
    </row>
    <row r="26" spans="1:12" x14ac:dyDescent="0.3">
      <c r="A26" s="34" t="s">
        <v>586</v>
      </c>
      <c r="B26" t="s">
        <v>633</v>
      </c>
      <c r="C26" t="s">
        <v>634</v>
      </c>
      <c r="K26" s="41" t="s">
        <v>654</v>
      </c>
      <c r="L26" s="42" t="s">
        <v>655</v>
      </c>
    </row>
    <row r="27" spans="1:12" x14ac:dyDescent="0.3">
      <c r="A27" s="34" t="s">
        <v>587</v>
      </c>
      <c r="B27" t="s">
        <v>318</v>
      </c>
      <c r="C27" t="s">
        <v>635</v>
      </c>
      <c r="K27" s="40"/>
    </row>
    <row r="28" spans="1:12" x14ac:dyDescent="0.3">
      <c r="A28" s="34" t="s">
        <v>588</v>
      </c>
      <c r="B28" t="s">
        <v>636</v>
      </c>
      <c r="C28" t="s">
        <v>637</v>
      </c>
      <c r="K28" s="34"/>
    </row>
    <row r="29" spans="1:12" x14ac:dyDescent="0.3">
      <c r="A29" s="34" t="s">
        <v>12</v>
      </c>
      <c r="B29" t="s">
        <v>638</v>
      </c>
      <c r="C29" t="s">
        <v>639</v>
      </c>
    </row>
    <row r="30" spans="1:12" x14ac:dyDescent="0.3">
      <c r="A30" s="34" t="s">
        <v>50</v>
      </c>
      <c r="B30" t="s">
        <v>640</v>
      </c>
      <c r="C30" t="s">
        <v>641</v>
      </c>
    </row>
    <row r="31" spans="1:12" x14ac:dyDescent="0.3">
      <c r="A31" s="34" t="s">
        <v>589</v>
      </c>
      <c r="B31" t="s">
        <v>575</v>
      </c>
      <c r="C31" t="s">
        <v>644</v>
      </c>
    </row>
    <row r="32" spans="1:12" x14ac:dyDescent="0.3">
      <c r="A32" s="34" t="s">
        <v>590</v>
      </c>
      <c r="B32" t="s">
        <v>576</v>
      </c>
      <c r="C32" t="s">
        <v>645</v>
      </c>
    </row>
    <row r="33" spans="1:3" x14ac:dyDescent="0.3">
      <c r="A33" s="34" t="s">
        <v>591</v>
      </c>
      <c r="B33" t="s">
        <v>642</v>
      </c>
      <c r="C33" t="s">
        <v>643</v>
      </c>
    </row>
    <row r="34" spans="1:3" x14ac:dyDescent="0.3">
      <c r="A34" s="34" t="s">
        <v>592</v>
      </c>
      <c r="B34" t="s">
        <v>646</v>
      </c>
      <c r="C34" t="s">
        <v>647</v>
      </c>
    </row>
    <row r="35" spans="1:3" x14ac:dyDescent="0.3">
      <c r="A35" s="34" t="s">
        <v>13</v>
      </c>
      <c r="B35" t="s">
        <v>648</v>
      </c>
      <c r="C35" t="s">
        <v>649</v>
      </c>
    </row>
    <row r="36" spans="1:3" x14ac:dyDescent="0.3">
      <c r="A36" s="34" t="s">
        <v>305</v>
      </c>
      <c r="B36" t="s">
        <v>650</v>
      </c>
      <c r="C36" t="s">
        <v>651</v>
      </c>
    </row>
    <row r="37" spans="1:3" x14ac:dyDescent="0.3">
      <c r="A37" s="34" t="s">
        <v>593</v>
      </c>
      <c r="B37" t="s">
        <v>652</v>
      </c>
      <c r="C37" t="s">
        <v>653</v>
      </c>
    </row>
    <row r="38" spans="1:3" x14ac:dyDescent="0.3">
      <c r="A38" s="34" t="s">
        <v>654</v>
      </c>
      <c r="B38" t="s">
        <v>655</v>
      </c>
      <c r="C38" t="s">
        <v>656</v>
      </c>
    </row>
    <row r="39" spans="1:3" x14ac:dyDescent="0.3">
      <c r="A39" s="34" t="s">
        <v>90</v>
      </c>
      <c r="B39" s="24" t="s">
        <v>90</v>
      </c>
    </row>
  </sheetData>
  <mergeCells count="1">
    <mergeCell ref="K1:L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0368-8500-4B64-BB44-E1EF0546AFD7}">
  <dimension ref="A1:P565"/>
  <sheetViews>
    <sheetView topLeftCell="A460" zoomScale="92" workbookViewId="0">
      <selection activeCell="F469" sqref="F469"/>
    </sheetView>
  </sheetViews>
  <sheetFormatPr baseColWidth="10" defaultRowHeight="14.4" x14ac:dyDescent="0.3"/>
  <sheetData>
    <row r="1" spans="1:16" x14ac:dyDescent="0.3">
      <c r="A1" s="7" t="s">
        <v>235</v>
      </c>
      <c r="B1" s="7" t="s">
        <v>236</v>
      </c>
      <c r="C1" s="7" t="s">
        <v>246</v>
      </c>
      <c r="D1" s="7" t="s">
        <v>237</v>
      </c>
      <c r="E1" s="7" t="s">
        <v>238</v>
      </c>
      <c r="F1" s="7" t="s">
        <v>239</v>
      </c>
      <c r="G1" s="7" t="s">
        <v>240</v>
      </c>
      <c r="H1" s="7" t="s">
        <v>245</v>
      </c>
      <c r="I1" s="7" t="s">
        <v>241</v>
      </c>
      <c r="J1" s="7" t="s">
        <v>242</v>
      </c>
      <c r="K1" s="7" t="s">
        <v>291</v>
      </c>
      <c r="L1" s="7" t="s">
        <v>292</v>
      </c>
      <c r="M1" s="7" t="s">
        <v>293</v>
      </c>
      <c r="N1" s="7" t="s">
        <v>294</v>
      </c>
      <c r="O1" s="7" t="s">
        <v>295</v>
      </c>
      <c r="P1" s="7" t="s">
        <v>296</v>
      </c>
    </row>
    <row r="2" spans="1:16" x14ac:dyDescent="0.3">
      <c r="A2" s="7" t="s">
        <v>251</v>
      </c>
      <c r="B2" s="10" t="s">
        <v>248</v>
      </c>
      <c r="C2" s="7" t="s">
        <v>249</v>
      </c>
      <c r="D2" s="12">
        <v>45350</v>
      </c>
      <c r="E2" s="9">
        <v>0.25</v>
      </c>
      <c r="F2" s="9">
        <v>0.25694444444444398</v>
      </c>
      <c r="G2" s="7" t="s">
        <v>267</v>
      </c>
      <c r="H2" s="10" t="s">
        <v>53</v>
      </c>
      <c r="I2" s="11" t="s">
        <v>54</v>
      </c>
      <c r="J2" s="11" t="s">
        <v>55</v>
      </c>
    </row>
    <row r="3" spans="1:16" x14ac:dyDescent="0.3">
      <c r="A3" s="7" t="s">
        <v>252</v>
      </c>
      <c r="B3" s="10" t="s">
        <v>256</v>
      </c>
      <c r="C3" s="7" t="s">
        <v>249</v>
      </c>
      <c r="D3" s="12">
        <v>45350</v>
      </c>
      <c r="E3" s="9">
        <v>0.25</v>
      </c>
      <c r="F3" s="9">
        <v>0.25694444444444398</v>
      </c>
      <c r="G3" s="7" t="s">
        <v>267</v>
      </c>
      <c r="H3" s="10" t="s">
        <v>53</v>
      </c>
      <c r="I3" s="11" t="s">
        <v>54</v>
      </c>
      <c r="J3" s="11" t="s">
        <v>55</v>
      </c>
    </row>
    <row r="4" spans="1:16" x14ac:dyDescent="0.3">
      <c r="A4" s="7" t="s">
        <v>250</v>
      </c>
      <c r="B4" s="10" t="s">
        <v>257</v>
      </c>
      <c r="C4" s="7" t="s">
        <v>249</v>
      </c>
      <c r="D4" s="12">
        <v>45350</v>
      </c>
      <c r="E4" s="9">
        <v>0.25</v>
      </c>
      <c r="F4" s="9">
        <v>0.25694444444444398</v>
      </c>
      <c r="G4" s="7" t="s">
        <v>267</v>
      </c>
      <c r="H4" s="10" t="s">
        <v>53</v>
      </c>
      <c r="I4" s="11" t="s">
        <v>54</v>
      </c>
      <c r="J4" s="11" t="s">
        <v>55</v>
      </c>
    </row>
    <row r="5" spans="1:16" x14ac:dyDescent="0.3">
      <c r="A5" s="7" t="s">
        <v>262</v>
      </c>
      <c r="B5" s="10" t="s">
        <v>263</v>
      </c>
      <c r="C5" s="7" t="s">
        <v>249</v>
      </c>
      <c r="D5" s="12">
        <v>45350</v>
      </c>
      <c r="E5" s="9">
        <v>0.25</v>
      </c>
      <c r="F5" s="9">
        <v>0.25694444444444398</v>
      </c>
      <c r="G5" s="7" t="s">
        <v>267</v>
      </c>
      <c r="H5" s="10" t="s">
        <v>53</v>
      </c>
      <c r="I5" s="11" t="s">
        <v>54</v>
      </c>
      <c r="J5" s="11" t="s">
        <v>55</v>
      </c>
    </row>
    <row r="6" spans="1:16" x14ac:dyDescent="0.3">
      <c r="A6" s="7" t="s">
        <v>250</v>
      </c>
      <c r="B6" t="s">
        <v>257</v>
      </c>
      <c r="C6" t="s">
        <v>249</v>
      </c>
      <c r="D6" s="1">
        <v>45351</v>
      </c>
      <c r="E6" s="9">
        <v>0.25</v>
      </c>
      <c r="F6" s="9">
        <v>0.25694444444444398</v>
      </c>
      <c r="G6" t="s">
        <v>297</v>
      </c>
      <c r="H6" s="10" t="s">
        <v>53</v>
      </c>
      <c r="I6" s="11" t="s">
        <v>54</v>
      </c>
      <c r="J6" s="11" t="s">
        <v>55</v>
      </c>
      <c r="K6">
        <v>1</v>
      </c>
      <c r="L6">
        <v>1</v>
      </c>
      <c r="M6">
        <v>1</v>
      </c>
      <c r="N6">
        <v>4</v>
      </c>
      <c r="O6">
        <v>1</v>
      </c>
      <c r="P6">
        <v>2</v>
      </c>
    </row>
    <row r="7" spans="1:16" x14ac:dyDescent="0.3">
      <c r="A7" s="7" t="s">
        <v>251</v>
      </c>
      <c r="B7" t="s">
        <v>248</v>
      </c>
      <c r="C7" t="s">
        <v>249</v>
      </c>
      <c r="D7" s="1">
        <v>45351</v>
      </c>
      <c r="E7" s="9">
        <v>0.25</v>
      </c>
      <c r="F7" s="9">
        <v>0.25694444444444398</v>
      </c>
      <c r="G7" t="s">
        <v>297</v>
      </c>
      <c r="H7" s="10" t="s">
        <v>53</v>
      </c>
      <c r="I7" s="11" t="s">
        <v>54</v>
      </c>
      <c r="J7" s="11" t="s">
        <v>55</v>
      </c>
      <c r="K7">
        <v>1</v>
      </c>
      <c r="L7">
        <v>1</v>
      </c>
      <c r="M7">
        <v>1</v>
      </c>
      <c r="N7">
        <v>4</v>
      </c>
      <c r="O7">
        <v>1</v>
      </c>
      <c r="P7">
        <v>2</v>
      </c>
    </row>
    <row r="8" spans="1:16" x14ac:dyDescent="0.3">
      <c r="A8" s="7" t="s">
        <v>253</v>
      </c>
      <c r="B8" t="s">
        <v>255</v>
      </c>
      <c r="C8" t="s">
        <v>249</v>
      </c>
      <c r="D8" s="1">
        <v>45351</v>
      </c>
      <c r="E8" s="9">
        <v>0.25</v>
      </c>
      <c r="F8" s="9">
        <v>0.25694444444444398</v>
      </c>
      <c r="G8" t="s">
        <v>297</v>
      </c>
      <c r="H8" s="10" t="s">
        <v>53</v>
      </c>
      <c r="I8" s="11" t="s">
        <v>54</v>
      </c>
      <c r="J8" s="11" t="s">
        <v>55</v>
      </c>
      <c r="K8">
        <v>1</v>
      </c>
      <c r="L8">
        <v>1</v>
      </c>
      <c r="M8">
        <v>1</v>
      </c>
      <c r="N8">
        <v>4</v>
      </c>
      <c r="O8">
        <v>1</v>
      </c>
      <c r="P8">
        <v>2</v>
      </c>
    </row>
    <row r="9" spans="1:16" x14ac:dyDescent="0.3">
      <c r="A9" s="7" t="s">
        <v>252</v>
      </c>
      <c r="B9" t="s">
        <v>256</v>
      </c>
      <c r="C9" t="s">
        <v>249</v>
      </c>
      <c r="D9" s="1">
        <v>45351</v>
      </c>
      <c r="E9" s="9">
        <v>0.25</v>
      </c>
      <c r="F9" s="9">
        <v>0.25694444444444398</v>
      </c>
      <c r="G9" t="s">
        <v>297</v>
      </c>
      <c r="H9" s="10" t="s">
        <v>53</v>
      </c>
      <c r="I9" s="11" t="s">
        <v>54</v>
      </c>
      <c r="J9" s="11" t="s">
        <v>55</v>
      </c>
      <c r="K9">
        <v>1</v>
      </c>
      <c r="L9">
        <v>1</v>
      </c>
      <c r="M9">
        <v>1</v>
      </c>
      <c r="N9">
        <v>4</v>
      </c>
      <c r="O9">
        <v>1</v>
      </c>
      <c r="P9">
        <v>2</v>
      </c>
    </row>
    <row r="10" spans="1:16" x14ac:dyDescent="0.3">
      <c r="A10" s="7" t="s">
        <v>262</v>
      </c>
      <c r="B10" t="s">
        <v>263</v>
      </c>
      <c r="C10" t="s">
        <v>249</v>
      </c>
      <c r="D10" s="1">
        <v>45351</v>
      </c>
      <c r="E10" s="9">
        <v>0.25</v>
      </c>
      <c r="F10" s="9">
        <v>0.25694444444444398</v>
      </c>
      <c r="G10" t="s">
        <v>297</v>
      </c>
      <c r="H10" s="10" t="s">
        <v>53</v>
      </c>
      <c r="I10" s="11" t="s">
        <v>54</v>
      </c>
      <c r="J10" s="11" t="s">
        <v>55</v>
      </c>
      <c r="K10">
        <v>1</v>
      </c>
      <c r="L10">
        <v>1</v>
      </c>
      <c r="M10">
        <v>1</v>
      </c>
      <c r="N10">
        <v>4</v>
      </c>
      <c r="O10">
        <v>1</v>
      </c>
      <c r="P10">
        <v>2</v>
      </c>
    </row>
    <row r="11" spans="1:16" x14ac:dyDescent="0.3">
      <c r="A11" s="7" t="s">
        <v>250</v>
      </c>
      <c r="B11" s="7" t="s">
        <v>257</v>
      </c>
      <c r="C11" s="7" t="s">
        <v>249</v>
      </c>
      <c r="D11" s="8">
        <v>45395</v>
      </c>
      <c r="E11" s="9">
        <v>0.25</v>
      </c>
      <c r="F11" s="9">
        <v>0.25694444444444442</v>
      </c>
      <c r="G11" s="7" t="s">
        <v>267</v>
      </c>
      <c r="H11" s="10" t="s">
        <v>0</v>
      </c>
      <c r="I11" s="11" t="s">
        <v>1</v>
      </c>
      <c r="J11" s="11" t="s">
        <v>2</v>
      </c>
    </row>
    <row r="12" spans="1:16" x14ac:dyDescent="0.3">
      <c r="A12" s="7" t="s">
        <v>251</v>
      </c>
      <c r="B12" s="7" t="s">
        <v>248</v>
      </c>
      <c r="C12" s="7" t="s">
        <v>249</v>
      </c>
      <c r="D12" s="8">
        <v>45395</v>
      </c>
      <c r="E12" s="9">
        <v>0.25</v>
      </c>
      <c r="F12" s="9">
        <v>0.25694444444444442</v>
      </c>
      <c r="G12" s="7" t="s">
        <v>267</v>
      </c>
      <c r="H12" s="10" t="s">
        <v>0</v>
      </c>
      <c r="I12" s="11" t="s">
        <v>1</v>
      </c>
      <c r="J12" s="11" t="s">
        <v>2</v>
      </c>
    </row>
    <row r="13" spans="1:16" x14ac:dyDescent="0.3">
      <c r="A13" s="7" t="s">
        <v>252</v>
      </c>
      <c r="B13" s="10" t="s">
        <v>256</v>
      </c>
      <c r="C13" s="7" t="s">
        <v>249</v>
      </c>
      <c r="D13" s="8">
        <v>45395</v>
      </c>
      <c r="E13" s="9">
        <v>0.25</v>
      </c>
      <c r="F13" s="9">
        <v>0.25694444444444398</v>
      </c>
      <c r="G13" s="7" t="s">
        <v>267</v>
      </c>
      <c r="H13" s="10" t="s">
        <v>0</v>
      </c>
      <c r="I13" s="11" t="s">
        <v>1</v>
      </c>
      <c r="J13" s="11" t="s">
        <v>2</v>
      </c>
    </row>
    <row r="14" spans="1:16" x14ac:dyDescent="0.3">
      <c r="A14" s="7" t="s">
        <v>253</v>
      </c>
      <c r="B14" s="10" t="s">
        <v>255</v>
      </c>
      <c r="C14" s="7" t="s">
        <v>249</v>
      </c>
      <c r="D14" s="8">
        <v>45395</v>
      </c>
      <c r="E14" s="9">
        <v>0.25</v>
      </c>
      <c r="F14" s="9">
        <v>0.25694444444444398</v>
      </c>
      <c r="G14" s="7" t="s">
        <v>267</v>
      </c>
      <c r="H14" s="10" t="s">
        <v>0</v>
      </c>
      <c r="I14" s="11" t="s">
        <v>1</v>
      </c>
      <c r="J14" s="11" t="s">
        <v>2</v>
      </c>
    </row>
    <row r="15" spans="1:16" x14ac:dyDescent="0.3">
      <c r="A15" s="7" t="s">
        <v>254</v>
      </c>
      <c r="B15" s="10" t="s">
        <v>259</v>
      </c>
      <c r="C15" s="7" t="s">
        <v>249</v>
      </c>
      <c r="D15" s="8">
        <v>45395</v>
      </c>
      <c r="E15" s="9">
        <v>0.25</v>
      </c>
      <c r="F15" s="9">
        <v>0.25694444444444398</v>
      </c>
      <c r="G15" s="7" t="s">
        <v>267</v>
      </c>
      <c r="H15" s="10" t="s">
        <v>0</v>
      </c>
      <c r="I15" s="11" t="s">
        <v>1</v>
      </c>
      <c r="J15" s="11" t="s">
        <v>2</v>
      </c>
    </row>
    <row r="16" spans="1:16" x14ac:dyDescent="0.3">
      <c r="A16" s="7" t="s">
        <v>260</v>
      </c>
      <c r="B16" s="10" t="s">
        <v>258</v>
      </c>
      <c r="C16" s="7" t="s">
        <v>249</v>
      </c>
      <c r="D16" s="8">
        <v>45395</v>
      </c>
      <c r="E16" s="9">
        <v>0.25</v>
      </c>
      <c r="F16" s="9">
        <v>0.25694444444444398</v>
      </c>
      <c r="G16" s="7" t="s">
        <v>267</v>
      </c>
      <c r="H16" s="10" t="s">
        <v>0</v>
      </c>
      <c r="I16" s="11" t="s">
        <v>1</v>
      </c>
      <c r="J16" s="11" t="s">
        <v>2</v>
      </c>
    </row>
    <row r="17" spans="1:16" x14ac:dyDescent="0.3">
      <c r="A17" s="7" t="s">
        <v>250</v>
      </c>
      <c r="B17" t="s">
        <v>257</v>
      </c>
      <c r="C17" t="s">
        <v>249</v>
      </c>
      <c r="D17" s="8">
        <v>45396</v>
      </c>
      <c r="E17" s="9">
        <v>0.25</v>
      </c>
      <c r="F17" s="9">
        <v>0.25694444444444442</v>
      </c>
      <c r="H17" s="10" t="s">
        <v>0</v>
      </c>
      <c r="I17" s="11" t="s">
        <v>1</v>
      </c>
      <c r="J17" s="11" t="s">
        <v>2</v>
      </c>
      <c r="K17">
        <v>2</v>
      </c>
      <c r="L17">
        <v>1</v>
      </c>
      <c r="M17">
        <v>1</v>
      </c>
      <c r="N17">
        <v>5</v>
      </c>
      <c r="O17">
        <v>1</v>
      </c>
      <c r="P17">
        <v>1</v>
      </c>
    </row>
    <row r="18" spans="1:16" x14ac:dyDescent="0.3">
      <c r="A18" s="7" t="s">
        <v>251</v>
      </c>
      <c r="B18" t="s">
        <v>248</v>
      </c>
      <c r="C18" t="s">
        <v>249</v>
      </c>
      <c r="D18" s="8">
        <v>45396</v>
      </c>
      <c r="E18" s="9">
        <v>0.25</v>
      </c>
      <c r="F18" s="9">
        <v>0.25694444444444442</v>
      </c>
      <c r="H18" s="10" t="s">
        <v>0</v>
      </c>
      <c r="I18" s="11" t="s">
        <v>1</v>
      </c>
      <c r="J18" s="11" t="s">
        <v>2</v>
      </c>
      <c r="K18">
        <v>2</v>
      </c>
      <c r="L18">
        <v>1</v>
      </c>
      <c r="M18">
        <v>1</v>
      </c>
      <c r="N18">
        <v>5</v>
      </c>
      <c r="O18">
        <v>1</v>
      </c>
      <c r="P18">
        <v>1</v>
      </c>
    </row>
    <row r="19" spans="1:16" x14ac:dyDescent="0.3">
      <c r="A19" s="7" t="s">
        <v>252</v>
      </c>
      <c r="B19" t="s">
        <v>256</v>
      </c>
      <c r="C19" t="s">
        <v>249</v>
      </c>
      <c r="D19" s="8">
        <v>45396</v>
      </c>
      <c r="E19" s="9">
        <v>0.25</v>
      </c>
      <c r="F19" s="9">
        <v>0.25694444444444398</v>
      </c>
      <c r="H19" s="10" t="s">
        <v>0</v>
      </c>
      <c r="I19" s="11" t="s">
        <v>1</v>
      </c>
      <c r="J19" s="11" t="s">
        <v>2</v>
      </c>
      <c r="K19">
        <v>2</v>
      </c>
      <c r="L19">
        <v>1</v>
      </c>
      <c r="M19">
        <v>1</v>
      </c>
      <c r="N19">
        <v>5</v>
      </c>
      <c r="O19">
        <v>1</v>
      </c>
      <c r="P19">
        <v>1</v>
      </c>
    </row>
    <row r="20" spans="1:16" x14ac:dyDescent="0.3">
      <c r="A20" s="7" t="s">
        <v>253</v>
      </c>
      <c r="B20" t="s">
        <v>255</v>
      </c>
      <c r="C20" t="s">
        <v>249</v>
      </c>
      <c r="D20" s="8">
        <v>45396</v>
      </c>
      <c r="E20" s="9">
        <v>0.25</v>
      </c>
      <c r="F20" s="9">
        <v>0.25694444444444398</v>
      </c>
      <c r="H20" s="10" t="s">
        <v>0</v>
      </c>
      <c r="I20" s="11" t="s">
        <v>1</v>
      </c>
      <c r="J20" s="11" t="s">
        <v>2</v>
      </c>
      <c r="K20">
        <v>2</v>
      </c>
      <c r="L20">
        <v>1</v>
      </c>
      <c r="M20">
        <v>1</v>
      </c>
      <c r="N20">
        <v>5</v>
      </c>
      <c r="O20">
        <v>1</v>
      </c>
      <c r="P20">
        <v>1</v>
      </c>
    </row>
    <row r="21" spans="1:16" x14ac:dyDescent="0.3">
      <c r="A21" s="7" t="s">
        <v>289</v>
      </c>
      <c r="B21" t="s">
        <v>290</v>
      </c>
      <c r="C21" t="s">
        <v>249</v>
      </c>
      <c r="D21" s="8">
        <v>45396</v>
      </c>
      <c r="E21" s="9">
        <v>0.25</v>
      </c>
      <c r="F21" s="9">
        <v>0.25694444444444398</v>
      </c>
      <c r="H21" s="10" t="s">
        <v>0</v>
      </c>
      <c r="I21" s="11" t="s">
        <v>1</v>
      </c>
      <c r="J21" s="11" t="s">
        <v>2</v>
      </c>
      <c r="K21">
        <v>2</v>
      </c>
      <c r="L21">
        <v>1</v>
      </c>
      <c r="M21">
        <v>1</v>
      </c>
      <c r="N21">
        <v>5</v>
      </c>
      <c r="O21">
        <v>1</v>
      </c>
      <c r="P21">
        <v>1</v>
      </c>
    </row>
    <row r="22" spans="1:16" x14ac:dyDescent="0.3">
      <c r="A22" s="7" t="s">
        <v>250</v>
      </c>
      <c r="B22" s="10" t="s">
        <v>257</v>
      </c>
      <c r="C22" s="7" t="s">
        <v>249</v>
      </c>
      <c r="D22" s="12">
        <v>45395</v>
      </c>
      <c r="E22" s="9">
        <v>0.25</v>
      </c>
      <c r="F22" s="9">
        <v>0.25694444444444398</v>
      </c>
      <c r="G22" s="7" t="s">
        <v>267</v>
      </c>
      <c r="H22" s="14" t="s">
        <v>68</v>
      </c>
      <c r="I22" s="15" t="s">
        <v>69</v>
      </c>
      <c r="J22" s="15" t="s">
        <v>70</v>
      </c>
    </row>
    <row r="23" spans="1:16" x14ac:dyDescent="0.3">
      <c r="A23" s="7" t="s">
        <v>252</v>
      </c>
      <c r="B23" s="10" t="s">
        <v>256</v>
      </c>
      <c r="C23" s="7" t="s">
        <v>249</v>
      </c>
      <c r="D23" s="12">
        <v>45395</v>
      </c>
      <c r="E23" s="9">
        <v>0.25</v>
      </c>
      <c r="F23" s="9">
        <v>0.25694444444444398</v>
      </c>
      <c r="G23" s="7" t="s">
        <v>267</v>
      </c>
      <c r="H23" s="14" t="s">
        <v>68</v>
      </c>
      <c r="I23" s="15" t="s">
        <v>69</v>
      </c>
      <c r="J23" s="15" t="s">
        <v>70</v>
      </c>
    </row>
    <row r="24" spans="1:16" x14ac:dyDescent="0.3">
      <c r="A24" s="7" t="s">
        <v>251</v>
      </c>
      <c r="B24" s="10" t="s">
        <v>248</v>
      </c>
      <c r="C24" s="7" t="s">
        <v>249</v>
      </c>
      <c r="D24" s="12">
        <v>45395</v>
      </c>
      <c r="E24" s="9">
        <v>0.25</v>
      </c>
      <c r="F24" s="9">
        <v>0.25694444444444398</v>
      </c>
      <c r="G24" s="7" t="s">
        <v>267</v>
      </c>
      <c r="H24" s="14" t="s">
        <v>68</v>
      </c>
      <c r="I24" s="15" t="s">
        <v>69</v>
      </c>
      <c r="J24" s="15" t="s">
        <v>70</v>
      </c>
    </row>
    <row r="25" spans="1:16" x14ac:dyDescent="0.3">
      <c r="A25" s="7" t="s">
        <v>253</v>
      </c>
      <c r="B25" s="10" t="s">
        <v>255</v>
      </c>
      <c r="C25" s="7" t="s">
        <v>249</v>
      </c>
      <c r="D25" s="12">
        <v>45395</v>
      </c>
      <c r="E25" s="9">
        <v>0.25</v>
      </c>
      <c r="F25" s="9">
        <v>0.25694444444444398</v>
      </c>
      <c r="G25" s="7" t="s">
        <v>267</v>
      </c>
      <c r="H25" s="14" t="s">
        <v>68</v>
      </c>
      <c r="I25" s="15" t="s">
        <v>69</v>
      </c>
      <c r="J25" s="15" t="s">
        <v>70</v>
      </c>
    </row>
    <row r="26" spans="1:16" x14ac:dyDescent="0.3">
      <c r="A26" s="7" t="s">
        <v>262</v>
      </c>
      <c r="B26" s="10" t="s">
        <v>263</v>
      </c>
      <c r="C26" s="7" t="s">
        <v>249</v>
      </c>
      <c r="D26" s="12">
        <v>45395</v>
      </c>
      <c r="E26" s="9">
        <v>0.25</v>
      </c>
      <c r="F26" s="9">
        <v>0.25694444444444398</v>
      </c>
      <c r="G26" s="7" t="s">
        <v>267</v>
      </c>
      <c r="H26" s="14" t="s">
        <v>68</v>
      </c>
      <c r="I26" s="15" t="s">
        <v>69</v>
      </c>
      <c r="J26" s="15" t="s">
        <v>70</v>
      </c>
    </row>
    <row r="27" spans="1:16" ht="12.6" customHeight="1" x14ac:dyDescent="0.3">
      <c r="A27" s="7" t="s">
        <v>260</v>
      </c>
      <c r="B27" s="10" t="s">
        <v>258</v>
      </c>
      <c r="C27" s="7" t="s">
        <v>249</v>
      </c>
      <c r="D27" s="12">
        <v>45395</v>
      </c>
      <c r="E27" s="9">
        <v>0.25</v>
      </c>
      <c r="F27" s="9">
        <v>0.25694444444444398</v>
      </c>
      <c r="G27" s="7" t="s">
        <v>267</v>
      </c>
      <c r="H27" s="14" t="s">
        <v>68</v>
      </c>
      <c r="I27" s="15" t="s">
        <v>69</v>
      </c>
      <c r="J27" s="15" t="s">
        <v>70</v>
      </c>
    </row>
    <row r="28" spans="1:16" x14ac:dyDescent="0.3">
      <c r="A28" s="7" t="s">
        <v>265</v>
      </c>
      <c r="B28" s="13" t="s">
        <v>266</v>
      </c>
      <c r="C28" s="7" t="s">
        <v>249</v>
      </c>
      <c r="D28" s="12">
        <v>45395</v>
      </c>
      <c r="E28" s="9">
        <v>0.25</v>
      </c>
      <c r="F28" s="9">
        <v>0.25694444444444398</v>
      </c>
      <c r="G28" s="7" t="s">
        <v>267</v>
      </c>
      <c r="H28" s="14" t="s">
        <v>68</v>
      </c>
      <c r="I28" s="15" t="s">
        <v>69</v>
      </c>
      <c r="J28" s="15" t="s">
        <v>70</v>
      </c>
    </row>
    <row r="29" spans="1:16" x14ac:dyDescent="0.3">
      <c r="A29" s="7" t="s">
        <v>250</v>
      </c>
      <c r="B29" t="s">
        <v>257</v>
      </c>
      <c r="C29" t="s">
        <v>249</v>
      </c>
      <c r="D29" s="8">
        <v>45396</v>
      </c>
      <c r="E29" s="9">
        <v>0.25</v>
      </c>
      <c r="F29" s="9">
        <v>0.25694444444444398</v>
      </c>
      <c r="H29" s="14" t="s">
        <v>68</v>
      </c>
      <c r="I29" s="15" t="s">
        <v>69</v>
      </c>
      <c r="J29" s="15" t="s">
        <v>70</v>
      </c>
      <c r="K29">
        <v>5</v>
      </c>
      <c r="L29">
        <v>1</v>
      </c>
      <c r="M29">
        <v>1</v>
      </c>
      <c r="N29">
        <v>4</v>
      </c>
      <c r="O29">
        <v>2</v>
      </c>
      <c r="P29">
        <v>5</v>
      </c>
    </row>
    <row r="30" spans="1:16" x14ac:dyDescent="0.3">
      <c r="A30" s="7" t="s">
        <v>252</v>
      </c>
      <c r="B30" t="s">
        <v>256</v>
      </c>
      <c r="C30" t="s">
        <v>249</v>
      </c>
      <c r="D30" s="8">
        <v>45396</v>
      </c>
      <c r="E30" s="9">
        <v>0.25</v>
      </c>
      <c r="F30" s="9">
        <v>0.25694444444444398</v>
      </c>
      <c r="H30" s="14" t="s">
        <v>68</v>
      </c>
      <c r="I30" s="15" t="s">
        <v>69</v>
      </c>
      <c r="J30" s="15" t="s">
        <v>70</v>
      </c>
      <c r="K30">
        <v>5</v>
      </c>
      <c r="L30">
        <v>1</v>
      </c>
      <c r="M30">
        <v>1</v>
      </c>
      <c r="N30">
        <v>4</v>
      </c>
      <c r="O30">
        <v>2</v>
      </c>
      <c r="P30">
        <v>5</v>
      </c>
    </row>
    <row r="31" spans="1:16" x14ac:dyDescent="0.3">
      <c r="A31" s="7" t="s">
        <v>251</v>
      </c>
      <c r="B31" t="s">
        <v>248</v>
      </c>
      <c r="C31" t="s">
        <v>249</v>
      </c>
      <c r="D31" s="8">
        <v>45396</v>
      </c>
      <c r="E31" s="9">
        <v>0.25</v>
      </c>
      <c r="F31" s="9">
        <v>0.25694444444444398</v>
      </c>
      <c r="H31" s="14" t="s">
        <v>68</v>
      </c>
      <c r="I31" s="15" t="s">
        <v>69</v>
      </c>
      <c r="J31" s="15" t="s">
        <v>70</v>
      </c>
      <c r="K31">
        <v>5</v>
      </c>
      <c r="L31">
        <v>1</v>
      </c>
      <c r="M31">
        <v>1</v>
      </c>
      <c r="N31">
        <v>4</v>
      </c>
      <c r="O31">
        <v>2</v>
      </c>
      <c r="P31">
        <v>5</v>
      </c>
    </row>
    <row r="32" spans="1:16" x14ac:dyDescent="0.3">
      <c r="A32" s="7" t="s">
        <v>253</v>
      </c>
      <c r="B32" t="s">
        <v>255</v>
      </c>
      <c r="C32" t="s">
        <v>249</v>
      </c>
      <c r="D32" s="8">
        <v>45396</v>
      </c>
      <c r="E32" s="9">
        <v>0.25</v>
      </c>
      <c r="F32" s="9">
        <v>0.25694444444444398</v>
      </c>
      <c r="H32" s="14" t="s">
        <v>68</v>
      </c>
      <c r="I32" s="15" t="s">
        <v>69</v>
      </c>
      <c r="J32" s="15" t="s">
        <v>70</v>
      </c>
      <c r="K32">
        <v>5</v>
      </c>
      <c r="L32">
        <v>1</v>
      </c>
      <c r="M32">
        <v>1</v>
      </c>
      <c r="N32">
        <v>4</v>
      </c>
      <c r="O32">
        <v>2</v>
      </c>
      <c r="P32">
        <v>5</v>
      </c>
    </row>
    <row r="33" spans="1:16" x14ac:dyDescent="0.3">
      <c r="A33" s="7" t="s">
        <v>262</v>
      </c>
      <c r="B33" t="s">
        <v>263</v>
      </c>
      <c r="C33" t="s">
        <v>249</v>
      </c>
      <c r="D33" s="8">
        <v>45396</v>
      </c>
      <c r="E33" s="9">
        <v>0.25</v>
      </c>
      <c r="F33" s="9">
        <v>0.25694444444444398</v>
      </c>
      <c r="H33" s="14" t="s">
        <v>68</v>
      </c>
      <c r="I33" s="15" t="s">
        <v>69</v>
      </c>
      <c r="J33" s="15" t="s">
        <v>70</v>
      </c>
      <c r="K33">
        <v>5</v>
      </c>
      <c r="L33">
        <v>1</v>
      </c>
      <c r="M33">
        <v>1</v>
      </c>
      <c r="N33">
        <v>4</v>
      </c>
      <c r="O33">
        <v>2</v>
      </c>
      <c r="P33">
        <v>5</v>
      </c>
    </row>
    <row r="34" spans="1:16" x14ac:dyDescent="0.3">
      <c r="A34" s="7" t="s">
        <v>275</v>
      </c>
      <c r="B34" t="s">
        <v>274</v>
      </c>
      <c r="C34" t="s">
        <v>249</v>
      </c>
      <c r="D34" s="8">
        <v>45396</v>
      </c>
      <c r="E34" s="9">
        <v>0.25</v>
      </c>
      <c r="F34" s="9">
        <v>0.25694444444444398</v>
      </c>
      <c r="H34" s="14" t="s">
        <v>68</v>
      </c>
      <c r="I34" s="15" t="s">
        <v>69</v>
      </c>
      <c r="J34" s="15" t="s">
        <v>70</v>
      </c>
      <c r="K34">
        <v>5</v>
      </c>
      <c r="L34">
        <v>1</v>
      </c>
      <c r="M34">
        <v>1</v>
      </c>
      <c r="N34">
        <v>4</v>
      </c>
      <c r="O34">
        <v>2</v>
      </c>
      <c r="P34">
        <v>5</v>
      </c>
    </row>
    <row r="35" spans="1:16" x14ac:dyDescent="0.3">
      <c r="A35" s="7" t="s">
        <v>250</v>
      </c>
      <c r="B35" s="10" t="s">
        <v>257</v>
      </c>
      <c r="C35" s="7" t="s">
        <v>249</v>
      </c>
      <c r="D35" s="12">
        <v>45395</v>
      </c>
      <c r="E35" s="9">
        <v>0.25</v>
      </c>
      <c r="F35" s="9">
        <v>0.25694444444444398</v>
      </c>
      <c r="G35" s="7" t="s">
        <v>267</v>
      </c>
      <c r="H35" s="10" t="s">
        <v>72</v>
      </c>
      <c r="I35" s="11" t="s">
        <v>73</v>
      </c>
      <c r="J35" s="11" t="s">
        <v>74</v>
      </c>
    </row>
    <row r="36" spans="1:16" x14ac:dyDescent="0.3">
      <c r="A36" s="7" t="s">
        <v>253</v>
      </c>
      <c r="B36" s="10" t="s">
        <v>255</v>
      </c>
      <c r="C36" s="7" t="s">
        <v>249</v>
      </c>
      <c r="D36" s="12">
        <v>45395</v>
      </c>
      <c r="E36" s="9">
        <v>0.25</v>
      </c>
      <c r="F36" s="9">
        <v>0.25694444444444398</v>
      </c>
      <c r="G36" s="7" t="s">
        <v>267</v>
      </c>
      <c r="H36" s="10" t="s">
        <v>72</v>
      </c>
      <c r="I36" s="11" t="s">
        <v>73</v>
      </c>
      <c r="J36" s="11" t="s">
        <v>74</v>
      </c>
    </row>
    <row r="37" spans="1:16" x14ac:dyDescent="0.3">
      <c r="A37" s="7" t="s">
        <v>252</v>
      </c>
      <c r="B37" s="10" t="s">
        <v>256</v>
      </c>
      <c r="C37" s="7" t="s">
        <v>249</v>
      </c>
      <c r="D37" s="12">
        <v>45395</v>
      </c>
      <c r="E37" s="9">
        <v>0.25</v>
      </c>
      <c r="F37" s="9">
        <v>0.25694444444444398</v>
      </c>
      <c r="G37" s="7" t="s">
        <v>267</v>
      </c>
      <c r="H37" s="10" t="s">
        <v>72</v>
      </c>
      <c r="I37" s="11" t="s">
        <v>73</v>
      </c>
      <c r="J37" s="11" t="s">
        <v>74</v>
      </c>
    </row>
    <row r="38" spans="1:16" x14ac:dyDescent="0.3">
      <c r="A38" s="7" t="s">
        <v>262</v>
      </c>
      <c r="B38" s="10" t="s">
        <v>263</v>
      </c>
      <c r="C38" s="7" t="s">
        <v>249</v>
      </c>
      <c r="D38" s="12">
        <v>45395</v>
      </c>
      <c r="E38" s="9">
        <v>0.25</v>
      </c>
      <c r="F38" s="9">
        <v>0.25694444444444398</v>
      </c>
      <c r="G38" s="7" t="s">
        <v>267</v>
      </c>
      <c r="H38" s="10" t="s">
        <v>72</v>
      </c>
      <c r="I38" s="11" t="s">
        <v>73</v>
      </c>
      <c r="J38" s="11" t="s">
        <v>74</v>
      </c>
    </row>
    <row r="39" spans="1:16" x14ac:dyDescent="0.3">
      <c r="A39" s="7" t="s">
        <v>251</v>
      </c>
      <c r="B39" s="10" t="s">
        <v>248</v>
      </c>
      <c r="C39" s="7" t="s">
        <v>249</v>
      </c>
      <c r="D39" s="12">
        <v>45395</v>
      </c>
      <c r="E39" s="9">
        <v>0.25</v>
      </c>
      <c r="F39" s="9">
        <v>0.25694444444444398</v>
      </c>
      <c r="G39" s="7" t="s">
        <v>267</v>
      </c>
      <c r="H39" s="10" t="s">
        <v>72</v>
      </c>
      <c r="I39" s="11" t="s">
        <v>73</v>
      </c>
      <c r="J39" s="11" t="s">
        <v>74</v>
      </c>
    </row>
    <row r="40" spans="1:16" x14ac:dyDescent="0.3">
      <c r="A40" s="7" t="s">
        <v>253</v>
      </c>
      <c r="B40" t="s">
        <v>255</v>
      </c>
      <c r="C40" t="s">
        <v>249</v>
      </c>
      <c r="D40" s="8">
        <v>45396</v>
      </c>
      <c r="E40" s="9">
        <v>0.25</v>
      </c>
      <c r="F40" s="9">
        <v>0.25694444444444398</v>
      </c>
      <c r="H40" s="10" t="s">
        <v>72</v>
      </c>
      <c r="I40" s="11" t="s">
        <v>73</v>
      </c>
      <c r="J40" s="11" t="s">
        <v>74</v>
      </c>
      <c r="K40">
        <v>3</v>
      </c>
      <c r="L40">
        <v>1</v>
      </c>
      <c r="M40">
        <v>1</v>
      </c>
      <c r="N40">
        <v>5</v>
      </c>
      <c r="O40">
        <v>4</v>
      </c>
      <c r="P40">
        <v>1</v>
      </c>
    </row>
    <row r="41" spans="1:16" x14ac:dyDescent="0.3">
      <c r="A41" s="7" t="s">
        <v>252</v>
      </c>
      <c r="B41" t="s">
        <v>256</v>
      </c>
      <c r="C41" t="s">
        <v>249</v>
      </c>
      <c r="D41" s="8">
        <v>45396</v>
      </c>
      <c r="E41" s="9">
        <v>0.25</v>
      </c>
      <c r="F41" s="9">
        <v>0.25694444444444398</v>
      </c>
      <c r="H41" s="10" t="s">
        <v>72</v>
      </c>
      <c r="I41" s="11" t="s">
        <v>73</v>
      </c>
      <c r="J41" s="11" t="s">
        <v>74</v>
      </c>
      <c r="K41">
        <v>3</v>
      </c>
      <c r="L41">
        <v>1</v>
      </c>
      <c r="M41">
        <v>1</v>
      </c>
      <c r="N41">
        <v>5</v>
      </c>
      <c r="O41">
        <v>4</v>
      </c>
      <c r="P41">
        <v>1</v>
      </c>
    </row>
    <row r="42" spans="1:16" x14ac:dyDescent="0.3">
      <c r="A42" s="7" t="s">
        <v>262</v>
      </c>
      <c r="B42" t="s">
        <v>263</v>
      </c>
      <c r="C42" t="s">
        <v>249</v>
      </c>
      <c r="D42" s="8">
        <v>45396</v>
      </c>
      <c r="E42" s="9">
        <v>0.25</v>
      </c>
      <c r="F42" s="9">
        <v>0.25694444444444398</v>
      </c>
      <c r="H42" s="10" t="s">
        <v>72</v>
      </c>
      <c r="I42" s="11" t="s">
        <v>73</v>
      </c>
      <c r="J42" s="11" t="s">
        <v>74</v>
      </c>
      <c r="K42">
        <v>3</v>
      </c>
      <c r="L42">
        <v>1</v>
      </c>
      <c r="M42">
        <v>1</v>
      </c>
      <c r="N42">
        <v>5</v>
      </c>
      <c r="O42">
        <v>4</v>
      </c>
      <c r="P42">
        <v>1</v>
      </c>
    </row>
    <row r="43" spans="1:16" x14ac:dyDescent="0.3">
      <c r="A43" s="7" t="s">
        <v>250</v>
      </c>
      <c r="B43" t="s">
        <v>257</v>
      </c>
      <c r="C43" t="s">
        <v>249</v>
      </c>
      <c r="D43" s="8">
        <v>45396</v>
      </c>
      <c r="E43" s="9">
        <v>0.25</v>
      </c>
      <c r="F43" s="9">
        <v>0.25694444444444398</v>
      </c>
      <c r="H43" s="10" t="s">
        <v>72</v>
      </c>
      <c r="I43" s="11" t="s">
        <v>73</v>
      </c>
      <c r="J43" s="11" t="s">
        <v>74</v>
      </c>
      <c r="K43">
        <v>3</v>
      </c>
      <c r="L43">
        <v>1</v>
      </c>
      <c r="M43">
        <v>1</v>
      </c>
      <c r="N43">
        <v>5</v>
      </c>
      <c r="O43">
        <v>4</v>
      </c>
      <c r="P43">
        <v>1</v>
      </c>
    </row>
    <row r="44" spans="1:16" x14ac:dyDescent="0.3">
      <c r="A44" s="7" t="s">
        <v>251</v>
      </c>
      <c r="B44" t="s">
        <v>248</v>
      </c>
      <c r="C44" t="s">
        <v>249</v>
      </c>
      <c r="D44" s="8">
        <v>45396</v>
      </c>
      <c r="E44" s="9">
        <v>0.25</v>
      </c>
      <c r="F44" s="9">
        <v>0.25694444444444398</v>
      </c>
      <c r="H44" s="10" t="s">
        <v>72</v>
      </c>
      <c r="I44" s="11" t="s">
        <v>73</v>
      </c>
      <c r="J44" s="11" t="s">
        <v>74</v>
      </c>
      <c r="K44">
        <v>3</v>
      </c>
      <c r="L44">
        <v>1</v>
      </c>
      <c r="M44">
        <v>1</v>
      </c>
      <c r="N44">
        <v>5</v>
      </c>
      <c r="O44">
        <v>4</v>
      </c>
      <c r="P44">
        <v>1</v>
      </c>
    </row>
    <row r="45" spans="1:16" x14ac:dyDescent="0.3">
      <c r="A45" s="7" t="s">
        <v>275</v>
      </c>
      <c r="B45" t="s">
        <v>274</v>
      </c>
      <c r="C45" t="s">
        <v>249</v>
      </c>
      <c r="D45" s="8">
        <v>45396</v>
      </c>
      <c r="E45" s="9">
        <v>0.25</v>
      </c>
      <c r="F45" s="9">
        <v>0.25694444444444398</v>
      </c>
      <c r="H45" s="10" t="s">
        <v>72</v>
      </c>
      <c r="I45" s="11" t="s">
        <v>73</v>
      </c>
      <c r="J45" s="11" t="s">
        <v>74</v>
      </c>
      <c r="K45">
        <v>3</v>
      </c>
      <c r="L45">
        <v>1</v>
      </c>
      <c r="M45">
        <v>1</v>
      </c>
      <c r="N45">
        <v>5</v>
      </c>
      <c r="O45">
        <v>4</v>
      </c>
      <c r="P45">
        <v>1</v>
      </c>
    </row>
    <row r="46" spans="1:16" x14ac:dyDescent="0.3">
      <c r="A46" s="7" t="s">
        <v>251</v>
      </c>
      <c r="B46" s="10" t="s">
        <v>248</v>
      </c>
      <c r="C46" s="7" t="s">
        <v>249</v>
      </c>
      <c r="D46" s="12">
        <v>45380</v>
      </c>
      <c r="E46" s="9">
        <v>0.25</v>
      </c>
      <c r="F46" s="9">
        <v>0.25694444444444398</v>
      </c>
      <c r="G46" s="10"/>
      <c r="H46" s="14" t="s">
        <v>16</v>
      </c>
      <c r="I46" s="15" t="s">
        <v>18</v>
      </c>
      <c r="J46" s="15" t="s">
        <v>19</v>
      </c>
    </row>
    <row r="47" spans="1:16" x14ac:dyDescent="0.3">
      <c r="A47" s="7" t="s">
        <v>250</v>
      </c>
      <c r="B47" s="10" t="s">
        <v>257</v>
      </c>
      <c r="C47" s="7" t="s">
        <v>249</v>
      </c>
      <c r="D47" s="12">
        <v>45380</v>
      </c>
      <c r="E47" s="9">
        <v>0.25</v>
      </c>
      <c r="F47" s="9">
        <v>0.25694444444444398</v>
      </c>
      <c r="G47" s="10"/>
      <c r="H47" s="14" t="s">
        <v>16</v>
      </c>
      <c r="I47" s="15" t="s">
        <v>18</v>
      </c>
      <c r="J47" s="15" t="s">
        <v>19</v>
      </c>
    </row>
    <row r="48" spans="1:16" x14ac:dyDescent="0.3">
      <c r="A48" s="7" t="s">
        <v>252</v>
      </c>
      <c r="B48" s="10" t="s">
        <v>256</v>
      </c>
      <c r="C48" s="7" t="s">
        <v>249</v>
      </c>
      <c r="D48" s="12">
        <v>45380</v>
      </c>
      <c r="E48" s="9">
        <v>0.25</v>
      </c>
      <c r="F48" s="9">
        <v>0.25694444444444398</v>
      </c>
      <c r="G48" s="10"/>
      <c r="H48" s="14" t="s">
        <v>16</v>
      </c>
      <c r="I48" s="15" t="s">
        <v>18</v>
      </c>
      <c r="J48" s="15" t="s">
        <v>19</v>
      </c>
    </row>
    <row r="49" spans="1:16" ht="28.8" x14ac:dyDescent="0.3">
      <c r="A49" s="7" t="s">
        <v>270</v>
      </c>
      <c r="B49" s="16" t="s">
        <v>269</v>
      </c>
      <c r="C49" s="7" t="s">
        <v>264</v>
      </c>
      <c r="D49" s="12">
        <v>45380</v>
      </c>
      <c r="E49" s="9">
        <v>0.25</v>
      </c>
      <c r="F49" s="9">
        <v>0.25694444444444398</v>
      </c>
      <c r="G49" s="10"/>
      <c r="H49" s="14" t="s">
        <v>16</v>
      </c>
      <c r="I49" s="15" t="s">
        <v>18</v>
      </c>
      <c r="J49" s="15" t="s">
        <v>19</v>
      </c>
    </row>
    <row r="50" spans="1:16" x14ac:dyDescent="0.3">
      <c r="A50" s="7" t="s">
        <v>262</v>
      </c>
      <c r="B50" s="10" t="s">
        <v>263</v>
      </c>
      <c r="C50" s="7" t="s">
        <v>249</v>
      </c>
      <c r="D50" s="12">
        <v>45380</v>
      </c>
      <c r="E50" s="9">
        <v>0.25</v>
      </c>
      <c r="F50" s="9">
        <v>0.25694444444444398</v>
      </c>
      <c r="G50" s="10"/>
      <c r="H50" s="14" t="s">
        <v>16</v>
      </c>
      <c r="I50" s="15" t="s">
        <v>18</v>
      </c>
      <c r="J50" s="15" t="s">
        <v>19</v>
      </c>
    </row>
    <row r="51" spans="1:16" x14ac:dyDescent="0.3">
      <c r="A51" s="7" t="s">
        <v>260</v>
      </c>
      <c r="B51" s="10" t="s">
        <v>258</v>
      </c>
      <c r="C51" s="7" t="s">
        <v>249</v>
      </c>
      <c r="D51" s="12">
        <v>45380</v>
      </c>
      <c r="E51" s="9">
        <v>0.25</v>
      </c>
      <c r="F51" s="9">
        <v>0.25694444444444398</v>
      </c>
      <c r="G51" s="10"/>
      <c r="H51" s="14" t="s">
        <v>16</v>
      </c>
      <c r="I51" s="15" t="s">
        <v>18</v>
      </c>
      <c r="J51" s="15" t="s">
        <v>19</v>
      </c>
    </row>
    <row r="52" spans="1:16" x14ac:dyDescent="0.3">
      <c r="A52" s="7" t="s">
        <v>250</v>
      </c>
      <c r="B52" t="s">
        <v>257</v>
      </c>
      <c r="C52" t="s">
        <v>249</v>
      </c>
      <c r="D52" s="1">
        <v>45381</v>
      </c>
      <c r="E52" s="9">
        <v>0.25</v>
      </c>
      <c r="F52" s="9">
        <v>0.25694444444444398</v>
      </c>
      <c r="H52" s="14" t="s">
        <v>16</v>
      </c>
      <c r="I52" s="15" t="s">
        <v>18</v>
      </c>
      <c r="J52" s="15" t="s">
        <v>19</v>
      </c>
      <c r="K52">
        <v>3</v>
      </c>
      <c r="L52">
        <v>1</v>
      </c>
      <c r="M52">
        <v>1</v>
      </c>
      <c r="N52">
        <v>3</v>
      </c>
      <c r="O52">
        <v>4</v>
      </c>
      <c r="P52">
        <v>1</v>
      </c>
    </row>
    <row r="53" spans="1:16" x14ac:dyDescent="0.3">
      <c r="A53" s="7" t="s">
        <v>251</v>
      </c>
      <c r="B53" t="s">
        <v>248</v>
      </c>
      <c r="C53" t="s">
        <v>249</v>
      </c>
      <c r="D53" s="1">
        <v>45381</v>
      </c>
      <c r="E53" s="9">
        <v>0.25</v>
      </c>
      <c r="F53" s="9">
        <v>0.25694444444444398</v>
      </c>
      <c r="H53" s="14" t="s">
        <v>16</v>
      </c>
      <c r="I53" s="15" t="s">
        <v>18</v>
      </c>
      <c r="J53" s="15" t="s">
        <v>19</v>
      </c>
      <c r="K53">
        <v>3</v>
      </c>
      <c r="L53">
        <v>1</v>
      </c>
      <c r="M53">
        <v>1</v>
      </c>
      <c r="N53">
        <v>3</v>
      </c>
      <c r="O53">
        <v>4</v>
      </c>
      <c r="P53">
        <v>1</v>
      </c>
    </row>
    <row r="54" spans="1:16" x14ac:dyDescent="0.3">
      <c r="A54" s="7" t="s">
        <v>252</v>
      </c>
      <c r="B54" t="s">
        <v>256</v>
      </c>
      <c r="C54" t="s">
        <v>249</v>
      </c>
      <c r="D54" s="1">
        <v>45381</v>
      </c>
      <c r="E54" s="9">
        <v>0.25</v>
      </c>
      <c r="F54" s="9">
        <v>0.25694444444444398</v>
      </c>
      <c r="H54" s="14" t="s">
        <v>16</v>
      </c>
      <c r="I54" s="15" t="s">
        <v>18</v>
      </c>
      <c r="J54" s="15" t="s">
        <v>19</v>
      </c>
      <c r="K54">
        <v>3</v>
      </c>
      <c r="L54">
        <v>1</v>
      </c>
      <c r="M54">
        <v>1</v>
      </c>
      <c r="N54">
        <v>3</v>
      </c>
      <c r="O54">
        <v>4</v>
      </c>
      <c r="P54">
        <v>1</v>
      </c>
    </row>
    <row r="55" spans="1:16" x14ac:dyDescent="0.3">
      <c r="A55" s="7" t="s">
        <v>253</v>
      </c>
      <c r="B55" t="s">
        <v>255</v>
      </c>
      <c r="C55" t="s">
        <v>249</v>
      </c>
      <c r="D55" s="1">
        <v>45381</v>
      </c>
      <c r="E55" s="9">
        <v>0.25</v>
      </c>
      <c r="F55" s="9">
        <v>0.25694444444444398</v>
      </c>
      <c r="H55" s="14" t="s">
        <v>16</v>
      </c>
      <c r="I55" s="15" t="s">
        <v>18</v>
      </c>
      <c r="J55" s="15" t="s">
        <v>19</v>
      </c>
      <c r="K55">
        <v>3</v>
      </c>
      <c r="L55">
        <v>1</v>
      </c>
      <c r="M55">
        <v>1</v>
      </c>
      <c r="N55">
        <v>3</v>
      </c>
      <c r="O55">
        <v>4</v>
      </c>
      <c r="P55">
        <v>1</v>
      </c>
    </row>
    <row r="56" spans="1:16" x14ac:dyDescent="0.3">
      <c r="A56" s="7" t="s">
        <v>270</v>
      </c>
      <c r="B56" t="s">
        <v>269</v>
      </c>
      <c r="C56" t="s">
        <v>264</v>
      </c>
      <c r="D56" s="1">
        <v>45381</v>
      </c>
      <c r="E56" s="9">
        <v>0.25</v>
      </c>
      <c r="F56" s="9">
        <v>0.25694444444444398</v>
      </c>
      <c r="H56" s="14" t="s">
        <v>16</v>
      </c>
      <c r="I56" s="15" t="s">
        <v>18</v>
      </c>
      <c r="J56" s="15" t="s">
        <v>19</v>
      </c>
      <c r="K56">
        <v>3</v>
      </c>
      <c r="L56">
        <v>1</v>
      </c>
      <c r="M56">
        <v>1</v>
      </c>
      <c r="N56">
        <v>3</v>
      </c>
      <c r="O56">
        <v>4</v>
      </c>
      <c r="P56">
        <v>1</v>
      </c>
    </row>
    <row r="57" spans="1:16" x14ac:dyDescent="0.3">
      <c r="A57" s="7" t="s">
        <v>251</v>
      </c>
      <c r="B57" s="10" t="s">
        <v>248</v>
      </c>
      <c r="C57" s="7" t="s">
        <v>249</v>
      </c>
      <c r="D57" s="1">
        <v>45380</v>
      </c>
      <c r="E57" s="17">
        <v>0.24930555555555556</v>
      </c>
      <c r="F57" s="17">
        <v>0.25624999999999998</v>
      </c>
      <c r="H57" t="s">
        <v>76</v>
      </c>
      <c r="I57" s="2" t="s">
        <v>77</v>
      </c>
      <c r="J57" s="2" t="s">
        <v>78</v>
      </c>
    </row>
    <row r="58" spans="1:16" x14ac:dyDescent="0.3">
      <c r="A58" s="7" t="s">
        <v>275</v>
      </c>
      <c r="B58" s="10" t="s">
        <v>274</v>
      </c>
      <c r="C58" s="7" t="s">
        <v>249</v>
      </c>
      <c r="D58" s="1">
        <v>45380</v>
      </c>
      <c r="E58" s="17">
        <v>0.24930555555555556</v>
      </c>
      <c r="F58" s="17">
        <v>0.25624999999999998</v>
      </c>
      <c r="G58" t="s">
        <v>276</v>
      </c>
      <c r="H58" t="s">
        <v>76</v>
      </c>
      <c r="I58" s="2" t="s">
        <v>77</v>
      </c>
      <c r="J58" s="2" t="s">
        <v>78</v>
      </c>
    </row>
    <row r="59" spans="1:16" x14ac:dyDescent="0.3">
      <c r="A59" s="7" t="s">
        <v>262</v>
      </c>
      <c r="B59" s="10" t="s">
        <v>263</v>
      </c>
      <c r="C59" s="7" t="s">
        <v>249</v>
      </c>
      <c r="D59" s="1">
        <v>45380</v>
      </c>
      <c r="E59" s="17">
        <v>0.249305555555556</v>
      </c>
      <c r="F59" s="17">
        <v>0.25624999999999998</v>
      </c>
      <c r="H59" t="s">
        <v>76</v>
      </c>
      <c r="I59" s="2" t="s">
        <v>77</v>
      </c>
      <c r="J59" s="2" t="s">
        <v>78</v>
      </c>
    </row>
    <row r="60" spans="1:16" x14ac:dyDescent="0.3">
      <c r="A60" s="7" t="s">
        <v>253</v>
      </c>
      <c r="B60" s="10" t="s">
        <v>255</v>
      </c>
      <c r="C60" s="7" t="s">
        <v>249</v>
      </c>
      <c r="D60" s="1">
        <v>45380</v>
      </c>
      <c r="E60" s="17">
        <v>0.249305555555556</v>
      </c>
      <c r="F60" s="17">
        <v>0.25624999999999998</v>
      </c>
      <c r="H60" t="s">
        <v>76</v>
      </c>
      <c r="I60" s="2" t="s">
        <v>77</v>
      </c>
      <c r="J60" s="2" t="s">
        <v>78</v>
      </c>
    </row>
    <row r="61" spans="1:16" ht="43.2" x14ac:dyDescent="0.3">
      <c r="A61" s="18" t="s">
        <v>273</v>
      </c>
      <c r="B61" s="6" t="s">
        <v>272</v>
      </c>
      <c r="C61" s="7" t="s">
        <v>264</v>
      </c>
      <c r="D61" s="1">
        <v>45380</v>
      </c>
      <c r="E61" s="17">
        <v>0.249305555555556</v>
      </c>
      <c r="F61" s="17">
        <v>0.25624999999999998</v>
      </c>
      <c r="G61" t="s">
        <v>271</v>
      </c>
      <c r="H61" t="s">
        <v>76</v>
      </c>
      <c r="I61" s="2" t="s">
        <v>77</v>
      </c>
      <c r="J61" s="2" t="s">
        <v>78</v>
      </c>
    </row>
    <row r="62" spans="1:16" x14ac:dyDescent="0.3">
      <c r="A62" s="7" t="s">
        <v>260</v>
      </c>
      <c r="B62" s="10" t="s">
        <v>258</v>
      </c>
      <c r="C62" s="7" t="s">
        <v>249</v>
      </c>
      <c r="D62" s="1">
        <v>45380</v>
      </c>
      <c r="E62" s="17">
        <v>0.249305555555556</v>
      </c>
      <c r="F62" s="17">
        <v>0.25624999999999998</v>
      </c>
      <c r="H62" t="s">
        <v>76</v>
      </c>
      <c r="I62" s="2" t="s">
        <v>77</v>
      </c>
      <c r="J62" s="2" t="s">
        <v>78</v>
      </c>
    </row>
    <row r="63" spans="1:16" x14ac:dyDescent="0.3">
      <c r="A63" s="7" t="s">
        <v>251</v>
      </c>
      <c r="B63" t="s">
        <v>248</v>
      </c>
      <c r="C63" t="s">
        <v>249</v>
      </c>
      <c r="D63" s="1">
        <v>45381</v>
      </c>
      <c r="E63" s="17">
        <v>0.24930555555555556</v>
      </c>
      <c r="F63" s="17">
        <v>0.25624999999999998</v>
      </c>
      <c r="H63" t="s">
        <v>76</v>
      </c>
      <c r="I63" s="2" t="s">
        <v>77</v>
      </c>
      <c r="J63" s="2" t="s">
        <v>78</v>
      </c>
      <c r="K63">
        <v>1</v>
      </c>
      <c r="L63">
        <v>2</v>
      </c>
      <c r="M63">
        <v>1</v>
      </c>
      <c r="N63">
        <v>4</v>
      </c>
      <c r="O63">
        <v>1</v>
      </c>
      <c r="P63">
        <v>1</v>
      </c>
    </row>
    <row r="64" spans="1:16" x14ac:dyDescent="0.3">
      <c r="A64" s="7" t="s">
        <v>275</v>
      </c>
      <c r="B64" t="s">
        <v>274</v>
      </c>
      <c r="C64" t="s">
        <v>249</v>
      </c>
      <c r="D64" s="1">
        <v>45381</v>
      </c>
      <c r="E64" s="17">
        <v>0.24930555555555556</v>
      </c>
      <c r="F64" s="17">
        <v>0.25624999999999998</v>
      </c>
      <c r="H64" t="s">
        <v>76</v>
      </c>
      <c r="I64" s="2" t="s">
        <v>77</v>
      </c>
      <c r="J64" s="2" t="s">
        <v>78</v>
      </c>
      <c r="K64">
        <v>1</v>
      </c>
      <c r="L64">
        <v>2</v>
      </c>
      <c r="M64">
        <v>1</v>
      </c>
      <c r="N64">
        <v>4</v>
      </c>
      <c r="O64">
        <v>1</v>
      </c>
      <c r="P64">
        <v>1</v>
      </c>
    </row>
    <row r="65" spans="1:16" x14ac:dyDescent="0.3">
      <c r="A65" s="7" t="s">
        <v>273</v>
      </c>
      <c r="B65" t="s">
        <v>272</v>
      </c>
      <c r="C65" t="s">
        <v>264</v>
      </c>
      <c r="D65" s="1">
        <v>45381</v>
      </c>
      <c r="E65" s="17">
        <v>0.249305555555556</v>
      </c>
      <c r="F65" s="17">
        <v>0.25624999999999998</v>
      </c>
      <c r="H65" t="s">
        <v>76</v>
      </c>
      <c r="I65" s="2" t="s">
        <v>77</v>
      </c>
      <c r="J65" s="2" t="s">
        <v>78</v>
      </c>
      <c r="K65">
        <v>1</v>
      </c>
      <c r="L65">
        <v>2</v>
      </c>
      <c r="M65">
        <v>1</v>
      </c>
      <c r="N65">
        <v>4</v>
      </c>
      <c r="O65">
        <v>1</v>
      </c>
      <c r="P65">
        <v>1</v>
      </c>
    </row>
    <row r="66" spans="1:16" x14ac:dyDescent="0.3">
      <c r="A66" s="7" t="s">
        <v>262</v>
      </c>
      <c r="B66" t="s">
        <v>263</v>
      </c>
      <c r="C66" t="s">
        <v>249</v>
      </c>
      <c r="D66" s="1">
        <v>45381</v>
      </c>
      <c r="E66" s="17">
        <v>0.249305555555556</v>
      </c>
      <c r="F66" s="17">
        <v>0.25624999999999998</v>
      </c>
      <c r="H66" t="s">
        <v>76</v>
      </c>
      <c r="I66" s="2" t="s">
        <v>77</v>
      </c>
      <c r="J66" s="2" t="s">
        <v>78</v>
      </c>
      <c r="K66">
        <v>1</v>
      </c>
      <c r="L66">
        <v>2</v>
      </c>
      <c r="M66">
        <v>1</v>
      </c>
      <c r="N66">
        <v>4</v>
      </c>
      <c r="O66">
        <v>1</v>
      </c>
      <c r="P66">
        <v>1</v>
      </c>
    </row>
    <row r="67" spans="1:16" x14ac:dyDescent="0.3">
      <c r="A67" s="7" t="s">
        <v>250</v>
      </c>
      <c r="B67" t="s">
        <v>257</v>
      </c>
      <c r="C67" t="s">
        <v>249</v>
      </c>
      <c r="D67" s="1">
        <v>45381</v>
      </c>
      <c r="E67" s="17">
        <v>0.249305555555556</v>
      </c>
      <c r="F67" s="17">
        <v>0.25624999999999998</v>
      </c>
      <c r="H67" t="s">
        <v>76</v>
      </c>
      <c r="I67" s="2" t="s">
        <v>77</v>
      </c>
      <c r="J67" s="2" t="s">
        <v>78</v>
      </c>
      <c r="K67">
        <v>1</v>
      </c>
      <c r="L67">
        <v>2</v>
      </c>
      <c r="M67">
        <v>1</v>
      </c>
      <c r="N67">
        <v>4</v>
      </c>
      <c r="O67">
        <v>1</v>
      </c>
      <c r="P67">
        <v>1</v>
      </c>
    </row>
    <row r="68" spans="1:16" x14ac:dyDescent="0.3">
      <c r="A68" s="7" t="s">
        <v>254</v>
      </c>
      <c r="B68" t="s">
        <v>259</v>
      </c>
      <c r="C68" t="s">
        <v>249</v>
      </c>
      <c r="D68" s="1">
        <v>45381</v>
      </c>
      <c r="E68" s="17">
        <v>0.249305555555556</v>
      </c>
      <c r="F68" s="17">
        <v>0.25624999999999998</v>
      </c>
      <c r="H68" t="s">
        <v>76</v>
      </c>
      <c r="I68" s="2" t="s">
        <v>77</v>
      </c>
      <c r="J68" s="2" t="s">
        <v>78</v>
      </c>
      <c r="K68">
        <v>1</v>
      </c>
      <c r="L68">
        <v>2</v>
      </c>
      <c r="M68">
        <v>1</v>
      </c>
      <c r="N68">
        <v>4</v>
      </c>
      <c r="O68">
        <v>1</v>
      </c>
      <c r="P68">
        <v>1</v>
      </c>
    </row>
    <row r="69" spans="1:16" x14ac:dyDescent="0.3">
      <c r="A69" s="7" t="s">
        <v>260</v>
      </c>
      <c r="B69" t="s">
        <v>258</v>
      </c>
      <c r="C69" t="s">
        <v>249</v>
      </c>
      <c r="D69" s="1">
        <v>45381</v>
      </c>
      <c r="E69" s="17">
        <v>0.249305555555556</v>
      </c>
      <c r="F69" s="17">
        <v>0.25624999999999998</v>
      </c>
      <c r="H69" t="s">
        <v>76</v>
      </c>
      <c r="I69" s="2" t="s">
        <v>77</v>
      </c>
      <c r="J69" s="2" t="s">
        <v>78</v>
      </c>
      <c r="K69">
        <v>1</v>
      </c>
      <c r="L69">
        <v>2</v>
      </c>
      <c r="M69">
        <v>1</v>
      </c>
      <c r="N69">
        <v>4</v>
      </c>
      <c r="O69">
        <v>1</v>
      </c>
      <c r="P69">
        <v>1</v>
      </c>
    </row>
    <row r="70" spans="1:16" x14ac:dyDescent="0.3">
      <c r="A70" s="7" t="s">
        <v>253</v>
      </c>
      <c r="B70" t="s">
        <v>255</v>
      </c>
      <c r="C70" t="s">
        <v>249</v>
      </c>
      <c r="D70" s="1">
        <v>45381</v>
      </c>
      <c r="E70" s="17">
        <v>0.249305555555556</v>
      </c>
      <c r="F70" s="17">
        <v>0.25624999999999998</v>
      </c>
      <c r="H70" t="s">
        <v>76</v>
      </c>
      <c r="I70" s="2" t="s">
        <v>77</v>
      </c>
      <c r="J70" s="2" t="s">
        <v>78</v>
      </c>
      <c r="K70">
        <v>1</v>
      </c>
      <c r="L70">
        <v>2</v>
      </c>
      <c r="M70">
        <v>1</v>
      </c>
      <c r="N70">
        <v>4</v>
      </c>
      <c r="O70">
        <v>1</v>
      </c>
      <c r="P70">
        <v>1</v>
      </c>
    </row>
    <row r="71" spans="1:16" x14ac:dyDescent="0.3">
      <c r="A71" s="7" t="s">
        <v>251</v>
      </c>
      <c r="B71" s="10" t="s">
        <v>248</v>
      </c>
      <c r="C71" t="s">
        <v>249</v>
      </c>
      <c r="D71" s="1">
        <v>45380</v>
      </c>
      <c r="E71" s="9">
        <v>0.25</v>
      </c>
      <c r="F71" s="9">
        <v>0.25694444444444398</v>
      </c>
      <c r="H71" s="4" t="s">
        <v>80</v>
      </c>
      <c r="I71" s="5" t="s">
        <v>81</v>
      </c>
      <c r="J71" s="5" t="s">
        <v>82</v>
      </c>
    </row>
    <row r="72" spans="1:16" x14ac:dyDescent="0.3">
      <c r="A72" s="7" t="s">
        <v>275</v>
      </c>
      <c r="B72" s="10" t="s">
        <v>274</v>
      </c>
      <c r="C72" s="7" t="s">
        <v>249</v>
      </c>
      <c r="D72" s="1">
        <v>45380</v>
      </c>
      <c r="E72" s="9">
        <v>0.25</v>
      </c>
      <c r="F72" s="9">
        <v>0.25694444444444398</v>
      </c>
      <c r="H72" s="4" t="s">
        <v>80</v>
      </c>
      <c r="I72" s="5" t="s">
        <v>81</v>
      </c>
      <c r="J72" s="5" t="s">
        <v>82</v>
      </c>
    </row>
    <row r="73" spans="1:16" x14ac:dyDescent="0.3">
      <c r="A73" s="7" t="s">
        <v>253</v>
      </c>
      <c r="B73" t="s">
        <v>255</v>
      </c>
      <c r="C73" s="7" t="s">
        <v>249</v>
      </c>
      <c r="D73" s="1">
        <v>45380</v>
      </c>
      <c r="E73" s="9">
        <v>0.25</v>
      </c>
      <c r="F73" s="9">
        <v>0.25694444444444398</v>
      </c>
      <c r="H73" s="4" t="s">
        <v>80</v>
      </c>
      <c r="I73" s="5" t="s">
        <v>81</v>
      </c>
      <c r="J73" s="5" t="s">
        <v>82</v>
      </c>
    </row>
    <row r="74" spans="1:16" x14ac:dyDescent="0.3">
      <c r="A74" s="7" t="s">
        <v>262</v>
      </c>
      <c r="B74" s="10" t="s">
        <v>263</v>
      </c>
      <c r="C74" s="7" t="s">
        <v>249</v>
      </c>
      <c r="D74" s="1">
        <v>45380</v>
      </c>
      <c r="E74" s="9">
        <v>0.25</v>
      </c>
      <c r="F74" s="9">
        <v>0.25694444444444398</v>
      </c>
      <c r="H74" s="4" t="s">
        <v>80</v>
      </c>
      <c r="I74" s="5" t="s">
        <v>81</v>
      </c>
      <c r="J74" s="5" t="s">
        <v>82</v>
      </c>
    </row>
    <row r="75" spans="1:16" x14ac:dyDescent="0.3">
      <c r="A75" s="7" t="s">
        <v>251</v>
      </c>
      <c r="B75" t="s">
        <v>248</v>
      </c>
      <c r="C75" t="s">
        <v>249</v>
      </c>
      <c r="D75" s="1">
        <v>45381</v>
      </c>
      <c r="E75" s="9">
        <v>0.25</v>
      </c>
      <c r="F75" s="9">
        <v>0.25694444444444398</v>
      </c>
      <c r="H75" s="4" t="s">
        <v>80</v>
      </c>
      <c r="I75" s="5" t="s">
        <v>81</v>
      </c>
      <c r="J75" s="5" t="s">
        <v>82</v>
      </c>
      <c r="K75">
        <v>1</v>
      </c>
      <c r="L75">
        <v>1</v>
      </c>
      <c r="M75">
        <v>1</v>
      </c>
      <c r="N75">
        <v>3</v>
      </c>
      <c r="O75">
        <v>1</v>
      </c>
      <c r="P75">
        <v>1</v>
      </c>
    </row>
    <row r="76" spans="1:16" x14ac:dyDescent="0.3">
      <c r="A76" s="7" t="s">
        <v>275</v>
      </c>
      <c r="B76" t="s">
        <v>274</v>
      </c>
      <c r="C76" t="s">
        <v>249</v>
      </c>
      <c r="D76" s="1">
        <v>45381</v>
      </c>
      <c r="E76" s="9">
        <v>0.25</v>
      </c>
      <c r="F76" s="9">
        <v>0.25694444444444398</v>
      </c>
      <c r="H76" s="4" t="s">
        <v>80</v>
      </c>
      <c r="I76" s="5" t="s">
        <v>81</v>
      </c>
      <c r="J76" s="5" t="s">
        <v>82</v>
      </c>
      <c r="K76">
        <v>1</v>
      </c>
      <c r="L76">
        <v>1</v>
      </c>
      <c r="M76">
        <v>1</v>
      </c>
      <c r="N76">
        <v>3</v>
      </c>
      <c r="O76">
        <v>1</v>
      </c>
      <c r="P76">
        <v>1</v>
      </c>
    </row>
    <row r="77" spans="1:16" x14ac:dyDescent="0.3">
      <c r="A77" s="7" t="s">
        <v>253</v>
      </c>
      <c r="B77" t="s">
        <v>255</v>
      </c>
      <c r="C77" t="s">
        <v>249</v>
      </c>
      <c r="D77" s="1">
        <v>45381</v>
      </c>
      <c r="E77" s="9">
        <v>0.25</v>
      </c>
      <c r="F77" s="9">
        <v>0.25694444444444398</v>
      </c>
      <c r="H77" s="4" t="s">
        <v>80</v>
      </c>
      <c r="I77" s="5" t="s">
        <v>81</v>
      </c>
      <c r="J77" s="5" t="s">
        <v>82</v>
      </c>
      <c r="K77">
        <v>1</v>
      </c>
      <c r="L77">
        <v>1</v>
      </c>
      <c r="M77">
        <v>1</v>
      </c>
      <c r="N77">
        <v>3</v>
      </c>
      <c r="O77">
        <v>1</v>
      </c>
      <c r="P77">
        <v>1</v>
      </c>
    </row>
    <row r="78" spans="1:16" x14ac:dyDescent="0.3">
      <c r="A78" s="7" t="s">
        <v>252</v>
      </c>
      <c r="B78" t="s">
        <v>256</v>
      </c>
      <c r="C78" t="s">
        <v>249</v>
      </c>
      <c r="D78" s="1">
        <v>45381</v>
      </c>
      <c r="E78" s="9">
        <v>0.25</v>
      </c>
      <c r="F78" s="9">
        <v>0.25694444444444398</v>
      </c>
      <c r="H78" s="4" t="s">
        <v>80</v>
      </c>
      <c r="I78" s="5" t="s">
        <v>81</v>
      </c>
      <c r="J78" s="5" t="s">
        <v>82</v>
      </c>
      <c r="K78">
        <v>1</v>
      </c>
      <c r="L78">
        <v>1</v>
      </c>
      <c r="M78">
        <v>1</v>
      </c>
      <c r="N78">
        <v>3</v>
      </c>
      <c r="O78">
        <v>1</v>
      </c>
      <c r="P78">
        <v>1</v>
      </c>
    </row>
    <row r="79" spans="1:16" x14ac:dyDescent="0.3">
      <c r="A79" s="7" t="s">
        <v>251</v>
      </c>
      <c r="B79" s="10" t="s">
        <v>248</v>
      </c>
      <c r="C79" s="7" t="s">
        <v>249</v>
      </c>
      <c r="D79" s="1">
        <v>45380</v>
      </c>
      <c r="E79" s="9">
        <v>0.25</v>
      </c>
      <c r="F79" s="9">
        <v>0.25694444444444398</v>
      </c>
      <c r="H79" t="s">
        <v>84</v>
      </c>
      <c r="I79" s="2" t="s">
        <v>85</v>
      </c>
      <c r="J79" s="2" t="s">
        <v>86</v>
      </c>
      <c r="K79">
        <v>1</v>
      </c>
      <c r="L79">
        <v>1</v>
      </c>
      <c r="M79">
        <v>1</v>
      </c>
      <c r="N79">
        <v>1</v>
      </c>
    </row>
    <row r="80" spans="1:16" x14ac:dyDescent="0.3">
      <c r="A80" s="7" t="s">
        <v>253</v>
      </c>
      <c r="B80" s="10" t="s">
        <v>255</v>
      </c>
      <c r="C80" s="7" t="s">
        <v>249</v>
      </c>
      <c r="D80" s="1">
        <v>45380</v>
      </c>
      <c r="E80" s="9">
        <v>0.25</v>
      </c>
      <c r="F80" s="9">
        <v>0.25694444444444398</v>
      </c>
      <c r="H80" t="s">
        <v>84</v>
      </c>
      <c r="I80" s="2" t="s">
        <v>85</v>
      </c>
      <c r="J80" s="2" t="s">
        <v>86</v>
      </c>
      <c r="K80">
        <v>1</v>
      </c>
      <c r="L80">
        <v>1</v>
      </c>
      <c r="M80">
        <v>1</v>
      </c>
      <c r="N80">
        <v>1</v>
      </c>
    </row>
    <row r="81" spans="1:16" x14ac:dyDescent="0.3">
      <c r="A81" s="7" t="s">
        <v>275</v>
      </c>
      <c r="B81" s="10" t="s">
        <v>274</v>
      </c>
      <c r="C81" s="7" t="s">
        <v>249</v>
      </c>
      <c r="D81" s="1">
        <v>45380</v>
      </c>
      <c r="E81" s="9">
        <v>0.25</v>
      </c>
      <c r="F81" s="9">
        <v>0.25694444444444398</v>
      </c>
      <c r="H81" t="s">
        <v>84</v>
      </c>
      <c r="I81" s="2" t="s">
        <v>85</v>
      </c>
      <c r="J81" s="2" t="s">
        <v>86</v>
      </c>
      <c r="K81">
        <v>1</v>
      </c>
      <c r="L81">
        <v>1</v>
      </c>
      <c r="M81">
        <v>1</v>
      </c>
      <c r="N81">
        <v>1</v>
      </c>
    </row>
    <row r="82" spans="1:16" x14ac:dyDescent="0.3">
      <c r="A82" s="7" t="s">
        <v>260</v>
      </c>
      <c r="B82" s="10" t="s">
        <v>258</v>
      </c>
      <c r="C82" s="7" t="s">
        <v>249</v>
      </c>
      <c r="D82" s="1">
        <v>45380</v>
      </c>
      <c r="E82" s="9">
        <v>0.25</v>
      </c>
      <c r="F82" s="9">
        <v>0.25694444444444398</v>
      </c>
      <c r="H82" t="s">
        <v>84</v>
      </c>
      <c r="I82" s="2" t="s">
        <v>85</v>
      </c>
      <c r="J82" s="2" t="s">
        <v>86</v>
      </c>
      <c r="K82">
        <v>1</v>
      </c>
      <c r="L82">
        <v>1</v>
      </c>
      <c r="M82">
        <v>1</v>
      </c>
      <c r="N82">
        <v>1</v>
      </c>
    </row>
    <row r="83" spans="1:16" x14ac:dyDescent="0.3">
      <c r="A83" s="7" t="s">
        <v>262</v>
      </c>
      <c r="B83" t="s">
        <v>263</v>
      </c>
      <c r="C83" t="s">
        <v>249</v>
      </c>
      <c r="D83" s="1">
        <v>45381</v>
      </c>
      <c r="E83" s="17">
        <v>0.26111111111111113</v>
      </c>
      <c r="F83" s="17">
        <v>0.26805555555555555</v>
      </c>
      <c r="H83" t="s">
        <v>84</v>
      </c>
      <c r="I83" s="2" t="s">
        <v>85</v>
      </c>
      <c r="J83" s="2" t="s">
        <v>86</v>
      </c>
      <c r="K83">
        <v>1</v>
      </c>
      <c r="L83">
        <v>3</v>
      </c>
      <c r="M83">
        <v>1</v>
      </c>
      <c r="N83">
        <v>3</v>
      </c>
      <c r="O83">
        <v>1</v>
      </c>
      <c r="P83">
        <v>3</v>
      </c>
    </row>
    <row r="84" spans="1:16" x14ac:dyDescent="0.3">
      <c r="A84" s="7" t="s">
        <v>275</v>
      </c>
      <c r="B84" t="s">
        <v>274</v>
      </c>
      <c r="C84" t="s">
        <v>249</v>
      </c>
      <c r="D84" s="1">
        <v>45381</v>
      </c>
      <c r="E84" s="17">
        <v>0.26111111111111113</v>
      </c>
      <c r="F84" s="17">
        <v>0.26805555555555555</v>
      </c>
      <c r="H84" t="s">
        <v>84</v>
      </c>
      <c r="I84" s="2" t="s">
        <v>85</v>
      </c>
      <c r="J84" s="2" t="s">
        <v>86</v>
      </c>
      <c r="K84">
        <v>1</v>
      </c>
      <c r="L84">
        <v>3</v>
      </c>
      <c r="M84">
        <v>1</v>
      </c>
      <c r="N84">
        <v>3</v>
      </c>
      <c r="O84">
        <v>1</v>
      </c>
      <c r="P84">
        <v>3</v>
      </c>
    </row>
    <row r="85" spans="1:16" x14ac:dyDescent="0.3">
      <c r="A85" s="7" t="s">
        <v>251</v>
      </c>
      <c r="B85" t="s">
        <v>248</v>
      </c>
      <c r="C85" t="s">
        <v>249</v>
      </c>
      <c r="D85" s="1">
        <v>45381</v>
      </c>
      <c r="E85" s="17">
        <v>0.26111111111111113</v>
      </c>
      <c r="F85" s="17">
        <v>0.26805555555555555</v>
      </c>
      <c r="H85" t="s">
        <v>84</v>
      </c>
      <c r="I85" s="2" t="s">
        <v>85</v>
      </c>
      <c r="J85" s="2" t="s">
        <v>86</v>
      </c>
      <c r="K85">
        <v>1</v>
      </c>
      <c r="L85">
        <v>3</v>
      </c>
      <c r="M85">
        <v>1</v>
      </c>
      <c r="N85">
        <v>3</v>
      </c>
      <c r="O85">
        <v>1</v>
      </c>
      <c r="P85">
        <v>3</v>
      </c>
    </row>
    <row r="86" spans="1:16" x14ac:dyDescent="0.3">
      <c r="A86" s="7" t="s">
        <v>253</v>
      </c>
      <c r="B86" t="s">
        <v>255</v>
      </c>
      <c r="C86" t="s">
        <v>249</v>
      </c>
      <c r="D86" s="1">
        <v>45381</v>
      </c>
      <c r="E86" s="17">
        <v>0.26111111111111113</v>
      </c>
      <c r="F86" s="17">
        <v>0.26805555555555555</v>
      </c>
      <c r="H86" t="s">
        <v>84</v>
      </c>
      <c r="I86" s="2" t="s">
        <v>85</v>
      </c>
      <c r="J86" s="2" t="s">
        <v>86</v>
      </c>
      <c r="K86">
        <v>1</v>
      </c>
      <c r="L86">
        <v>3</v>
      </c>
      <c r="M86">
        <v>1</v>
      </c>
      <c r="N86">
        <v>3</v>
      </c>
      <c r="O86">
        <v>1</v>
      </c>
      <c r="P86">
        <v>3</v>
      </c>
    </row>
    <row r="87" spans="1:16" x14ac:dyDescent="0.3">
      <c r="A87" s="7" t="s">
        <v>273</v>
      </c>
      <c r="B87" t="s">
        <v>272</v>
      </c>
      <c r="C87" t="s">
        <v>264</v>
      </c>
      <c r="D87" s="1">
        <v>45381</v>
      </c>
      <c r="E87" s="17">
        <v>0.26111111111111113</v>
      </c>
      <c r="F87" s="17">
        <v>0.26805555555555555</v>
      </c>
      <c r="H87" t="s">
        <v>84</v>
      </c>
      <c r="I87" s="2" t="s">
        <v>85</v>
      </c>
      <c r="J87" s="2" t="s">
        <v>86</v>
      </c>
      <c r="K87">
        <v>1</v>
      </c>
      <c r="L87">
        <v>3</v>
      </c>
      <c r="M87">
        <v>1</v>
      </c>
      <c r="N87">
        <v>3</v>
      </c>
      <c r="O87">
        <v>1</v>
      </c>
      <c r="P87">
        <v>3</v>
      </c>
    </row>
    <row r="88" spans="1:16" x14ac:dyDescent="0.3">
      <c r="A88" s="7" t="s">
        <v>260</v>
      </c>
      <c r="B88" t="s">
        <v>258</v>
      </c>
      <c r="C88" t="s">
        <v>249</v>
      </c>
      <c r="D88" s="1">
        <v>45381</v>
      </c>
      <c r="E88" s="17">
        <v>0.26111111111111113</v>
      </c>
      <c r="F88" s="17">
        <v>0.26805555555555555</v>
      </c>
      <c r="H88" t="s">
        <v>84</v>
      </c>
      <c r="I88" s="2" t="s">
        <v>85</v>
      </c>
      <c r="J88" s="2" t="s">
        <v>86</v>
      </c>
      <c r="K88">
        <v>1</v>
      </c>
      <c r="L88">
        <v>3</v>
      </c>
      <c r="M88">
        <v>1</v>
      </c>
      <c r="N88">
        <v>3</v>
      </c>
      <c r="O88">
        <v>1</v>
      </c>
      <c r="P88">
        <v>3</v>
      </c>
    </row>
    <row r="89" spans="1:16" x14ac:dyDescent="0.3">
      <c r="A89" s="7" t="s">
        <v>253</v>
      </c>
      <c r="B89" s="10" t="s">
        <v>255</v>
      </c>
      <c r="C89" t="s">
        <v>249</v>
      </c>
      <c r="D89" s="1">
        <v>45380</v>
      </c>
      <c r="E89" s="9">
        <v>0.25</v>
      </c>
      <c r="F89" s="9">
        <v>0.25694444444444398</v>
      </c>
      <c r="G89" t="s">
        <v>277</v>
      </c>
      <c r="H89" s="4" t="s">
        <v>88</v>
      </c>
      <c r="I89" s="5" t="s">
        <v>85</v>
      </c>
      <c r="J89" s="5" t="s">
        <v>86</v>
      </c>
      <c r="K89">
        <v>1</v>
      </c>
      <c r="L89">
        <v>1</v>
      </c>
      <c r="M89">
        <v>1</v>
      </c>
      <c r="N89">
        <v>1</v>
      </c>
    </row>
    <row r="90" spans="1:16" x14ac:dyDescent="0.3">
      <c r="A90" s="7" t="s">
        <v>262</v>
      </c>
      <c r="B90" s="10" t="s">
        <v>263</v>
      </c>
      <c r="C90" s="7" t="s">
        <v>249</v>
      </c>
      <c r="D90" s="1">
        <v>45380</v>
      </c>
      <c r="E90" s="9">
        <v>0.25</v>
      </c>
      <c r="F90" s="9">
        <v>0.25694444444444398</v>
      </c>
      <c r="H90" s="4" t="s">
        <v>88</v>
      </c>
      <c r="I90" s="5" t="s">
        <v>85</v>
      </c>
      <c r="J90" s="5" t="s">
        <v>86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6" x14ac:dyDescent="0.3">
      <c r="A91" s="7" t="s">
        <v>250</v>
      </c>
      <c r="B91" t="s">
        <v>257</v>
      </c>
      <c r="C91" t="s">
        <v>249</v>
      </c>
      <c r="D91" s="1">
        <v>45381</v>
      </c>
      <c r="E91" s="17">
        <v>0.25624999999999998</v>
      </c>
      <c r="F91" s="17">
        <v>0.26319444444444445</v>
      </c>
      <c r="H91" s="4" t="s">
        <v>88</v>
      </c>
      <c r="I91" s="5" t="s">
        <v>85</v>
      </c>
      <c r="J91" s="5" t="s">
        <v>86</v>
      </c>
      <c r="K91">
        <v>1</v>
      </c>
      <c r="L91">
        <v>5</v>
      </c>
      <c r="M91">
        <v>1</v>
      </c>
      <c r="N91">
        <v>3</v>
      </c>
      <c r="O91">
        <v>1</v>
      </c>
      <c r="P91">
        <v>2</v>
      </c>
    </row>
    <row r="92" spans="1:16" x14ac:dyDescent="0.3">
      <c r="A92" s="7" t="s">
        <v>253</v>
      </c>
      <c r="B92" t="s">
        <v>255</v>
      </c>
      <c r="C92" t="s">
        <v>249</v>
      </c>
      <c r="D92" s="1">
        <v>45381</v>
      </c>
      <c r="E92" s="17">
        <v>0.25624999999999998</v>
      </c>
      <c r="F92" s="17">
        <v>0.26319444444444445</v>
      </c>
      <c r="H92" s="4" t="s">
        <v>88</v>
      </c>
      <c r="I92" s="5" t="s">
        <v>85</v>
      </c>
      <c r="J92" s="5" t="s">
        <v>86</v>
      </c>
      <c r="K92">
        <v>1</v>
      </c>
      <c r="L92">
        <v>5</v>
      </c>
      <c r="M92">
        <v>1</v>
      </c>
      <c r="N92">
        <v>3</v>
      </c>
      <c r="O92">
        <v>1</v>
      </c>
      <c r="P92">
        <v>2</v>
      </c>
    </row>
    <row r="93" spans="1:16" x14ac:dyDescent="0.3">
      <c r="A93" s="7" t="s">
        <v>275</v>
      </c>
      <c r="B93" t="s">
        <v>274</v>
      </c>
      <c r="C93" t="s">
        <v>249</v>
      </c>
      <c r="D93" s="1">
        <v>45381</v>
      </c>
      <c r="E93" s="17">
        <v>0.25624999999999998</v>
      </c>
      <c r="F93" s="17">
        <v>0.26319444444444401</v>
      </c>
      <c r="H93" s="4" t="s">
        <v>88</v>
      </c>
      <c r="I93" s="5" t="s">
        <v>85</v>
      </c>
      <c r="J93" s="5" t="s">
        <v>86</v>
      </c>
      <c r="K93">
        <v>1</v>
      </c>
      <c r="L93">
        <v>5</v>
      </c>
      <c r="M93">
        <v>1</v>
      </c>
      <c r="N93">
        <v>3</v>
      </c>
      <c r="O93">
        <v>1</v>
      </c>
      <c r="P93">
        <v>2</v>
      </c>
    </row>
    <row r="94" spans="1:16" x14ac:dyDescent="0.3">
      <c r="A94" s="7" t="s">
        <v>262</v>
      </c>
      <c r="B94" t="s">
        <v>263</v>
      </c>
      <c r="C94" t="s">
        <v>249</v>
      </c>
      <c r="D94" s="1">
        <v>45381</v>
      </c>
      <c r="E94" s="17">
        <v>0.25624999999999998</v>
      </c>
      <c r="F94" s="17">
        <v>0.26319444444444401</v>
      </c>
      <c r="H94" s="4" t="s">
        <v>88</v>
      </c>
      <c r="I94" s="5" t="s">
        <v>85</v>
      </c>
      <c r="J94" s="5" t="s">
        <v>86</v>
      </c>
      <c r="K94">
        <v>1</v>
      </c>
      <c r="L94">
        <v>5</v>
      </c>
      <c r="M94">
        <v>1</v>
      </c>
      <c r="N94">
        <v>3</v>
      </c>
      <c r="O94">
        <v>1</v>
      </c>
      <c r="P94">
        <v>2</v>
      </c>
    </row>
    <row r="95" spans="1:16" x14ac:dyDescent="0.3">
      <c r="A95" s="7" t="s">
        <v>251</v>
      </c>
      <c r="B95" t="s">
        <v>248</v>
      </c>
      <c r="C95" t="s">
        <v>249</v>
      </c>
      <c r="D95" s="1">
        <v>45381</v>
      </c>
      <c r="E95" s="17">
        <v>0.25624999999999998</v>
      </c>
      <c r="F95" s="17">
        <v>0.26319444444444401</v>
      </c>
      <c r="H95" s="4" t="s">
        <v>88</v>
      </c>
      <c r="I95" s="5" t="s">
        <v>85</v>
      </c>
      <c r="J95" s="5" t="s">
        <v>86</v>
      </c>
      <c r="K95">
        <v>1</v>
      </c>
      <c r="L95">
        <v>5</v>
      </c>
      <c r="M95">
        <v>1</v>
      </c>
      <c r="N95">
        <v>3</v>
      </c>
      <c r="O95">
        <v>1</v>
      </c>
      <c r="P95">
        <v>2</v>
      </c>
    </row>
    <row r="96" spans="1:16" x14ac:dyDescent="0.3">
      <c r="A96" s="7" t="s">
        <v>250</v>
      </c>
      <c r="B96" s="10" t="s">
        <v>257</v>
      </c>
      <c r="C96" s="7" t="s">
        <v>249</v>
      </c>
      <c r="D96" s="1">
        <v>45393</v>
      </c>
      <c r="E96" s="9">
        <v>0.25</v>
      </c>
      <c r="F96" s="9">
        <v>0.25694444444444398</v>
      </c>
      <c r="H96" t="s">
        <v>92</v>
      </c>
      <c r="I96" s="2" t="s">
        <v>93</v>
      </c>
      <c r="J96" s="2" t="s">
        <v>94</v>
      </c>
      <c r="K96">
        <v>1</v>
      </c>
      <c r="L96">
        <v>1</v>
      </c>
      <c r="M96">
        <v>1</v>
      </c>
      <c r="N96">
        <v>5</v>
      </c>
      <c r="O96">
        <v>4</v>
      </c>
    </row>
    <row r="97" spans="1:16" x14ac:dyDescent="0.3">
      <c r="A97" s="7" t="s">
        <v>251</v>
      </c>
      <c r="B97" s="10" t="s">
        <v>248</v>
      </c>
      <c r="C97" s="7" t="s">
        <v>249</v>
      </c>
      <c r="D97" s="1">
        <v>45393</v>
      </c>
      <c r="E97" s="9">
        <v>0.25</v>
      </c>
      <c r="F97" s="9">
        <v>0.25694444444444398</v>
      </c>
      <c r="H97" t="s">
        <v>92</v>
      </c>
      <c r="I97" s="2" t="s">
        <v>93</v>
      </c>
      <c r="J97" s="2" t="s">
        <v>94</v>
      </c>
      <c r="K97">
        <v>1</v>
      </c>
      <c r="L97">
        <v>1</v>
      </c>
      <c r="M97">
        <v>1</v>
      </c>
      <c r="N97">
        <v>5</v>
      </c>
      <c r="O97">
        <v>4</v>
      </c>
    </row>
    <row r="98" spans="1:16" x14ac:dyDescent="0.3">
      <c r="A98" s="7" t="s">
        <v>252</v>
      </c>
      <c r="B98" s="10" t="s">
        <v>256</v>
      </c>
      <c r="C98" s="7" t="s">
        <v>249</v>
      </c>
      <c r="D98" s="1">
        <v>45393</v>
      </c>
      <c r="E98" s="9">
        <v>0.25</v>
      </c>
      <c r="F98" s="9">
        <v>0.25694444444444398</v>
      </c>
      <c r="H98" t="s">
        <v>92</v>
      </c>
      <c r="I98" s="2" t="s">
        <v>93</v>
      </c>
      <c r="J98" s="2" t="s">
        <v>94</v>
      </c>
      <c r="K98">
        <v>1</v>
      </c>
      <c r="L98">
        <v>1</v>
      </c>
      <c r="M98">
        <v>1</v>
      </c>
      <c r="N98">
        <v>5</v>
      </c>
      <c r="O98">
        <v>4</v>
      </c>
    </row>
    <row r="99" spans="1:16" x14ac:dyDescent="0.3">
      <c r="A99" s="7" t="s">
        <v>275</v>
      </c>
      <c r="B99" t="s">
        <v>274</v>
      </c>
      <c r="C99" s="7" t="s">
        <v>249</v>
      </c>
      <c r="D99" s="1">
        <v>45393</v>
      </c>
      <c r="E99" s="9">
        <v>0.25</v>
      </c>
      <c r="F99" s="9">
        <v>0.25694444444444398</v>
      </c>
      <c r="H99" t="s">
        <v>92</v>
      </c>
      <c r="I99" s="2" t="s">
        <v>93</v>
      </c>
      <c r="J99" s="2" t="s">
        <v>94</v>
      </c>
      <c r="K99">
        <v>1</v>
      </c>
      <c r="L99">
        <v>1</v>
      </c>
      <c r="M99">
        <v>1</v>
      </c>
      <c r="N99">
        <v>5</v>
      </c>
      <c r="O99">
        <v>4</v>
      </c>
    </row>
    <row r="100" spans="1:16" x14ac:dyDescent="0.3">
      <c r="A100" s="7" t="s">
        <v>253</v>
      </c>
      <c r="B100" s="10" t="s">
        <v>255</v>
      </c>
      <c r="C100" s="7" t="s">
        <v>249</v>
      </c>
      <c r="D100" s="1">
        <v>45393</v>
      </c>
      <c r="E100" s="9">
        <v>0.25</v>
      </c>
      <c r="F100" s="9">
        <v>0.25694444444444398</v>
      </c>
      <c r="H100" t="s">
        <v>92</v>
      </c>
      <c r="I100" s="2" t="s">
        <v>93</v>
      </c>
      <c r="J100" s="2" t="s">
        <v>94</v>
      </c>
      <c r="K100">
        <v>1</v>
      </c>
      <c r="L100">
        <v>1</v>
      </c>
      <c r="M100">
        <v>1</v>
      </c>
      <c r="N100">
        <v>5</v>
      </c>
      <c r="O100">
        <v>4</v>
      </c>
    </row>
    <row r="101" spans="1:16" x14ac:dyDescent="0.3">
      <c r="A101" s="7" t="s">
        <v>251</v>
      </c>
      <c r="B101" t="s">
        <v>248</v>
      </c>
      <c r="C101" t="s">
        <v>249</v>
      </c>
      <c r="D101" s="1">
        <v>45394</v>
      </c>
      <c r="E101" s="17">
        <v>0.25</v>
      </c>
      <c r="F101" s="17">
        <v>0.25694444444444442</v>
      </c>
      <c r="H101" t="s">
        <v>92</v>
      </c>
      <c r="I101" s="2" t="s">
        <v>93</v>
      </c>
      <c r="J101" s="2" t="s">
        <v>94</v>
      </c>
      <c r="K101">
        <v>1</v>
      </c>
      <c r="L101">
        <v>1</v>
      </c>
      <c r="M101">
        <v>1</v>
      </c>
      <c r="N101">
        <v>5</v>
      </c>
      <c r="O101">
        <v>1</v>
      </c>
      <c r="P101">
        <v>2</v>
      </c>
    </row>
    <row r="102" spans="1:16" x14ac:dyDescent="0.3">
      <c r="A102" s="7" t="s">
        <v>250</v>
      </c>
      <c r="B102" t="s">
        <v>257</v>
      </c>
      <c r="C102" t="s">
        <v>249</v>
      </c>
      <c r="D102" s="1">
        <v>45394</v>
      </c>
      <c r="E102" s="17">
        <v>0.25</v>
      </c>
      <c r="F102" s="17">
        <v>0.25694444444444442</v>
      </c>
      <c r="H102" t="s">
        <v>92</v>
      </c>
      <c r="I102" s="2" t="s">
        <v>93</v>
      </c>
      <c r="J102" s="2" t="s">
        <v>94</v>
      </c>
      <c r="K102">
        <v>1</v>
      </c>
      <c r="L102">
        <v>1</v>
      </c>
      <c r="M102">
        <v>1</v>
      </c>
      <c r="N102">
        <v>5</v>
      </c>
      <c r="O102">
        <v>1</v>
      </c>
      <c r="P102">
        <v>2</v>
      </c>
    </row>
    <row r="103" spans="1:16" x14ac:dyDescent="0.3">
      <c r="A103" s="7" t="s">
        <v>252</v>
      </c>
      <c r="B103" t="s">
        <v>256</v>
      </c>
      <c r="C103" t="s">
        <v>249</v>
      </c>
      <c r="D103" s="1">
        <v>45394</v>
      </c>
      <c r="E103" s="17">
        <v>0.25</v>
      </c>
      <c r="F103" s="17">
        <v>0.25694444444444398</v>
      </c>
      <c r="H103" t="s">
        <v>92</v>
      </c>
      <c r="I103" s="2" t="s">
        <v>93</v>
      </c>
      <c r="J103" s="2" t="s">
        <v>94</v>
      </c>
      <c r="K103">
        <v>1</v>
      </c>
      <c r="L103">
        <v>1</v>
      </c>
      <c r="M103">
        <v>1</v>
      </c>
      <c r="N103">
        <v>5</v>
      </c>
      <c r="O103">
        <v>1</v>
      </c>
      <c r="P103">
        <v>2</v>
      </c>
    </row>
    <row r="104" spans="1:16" x14ac:dyDescent="0.3">
      <c r="A104" s="7" t="s">
        <v>262</v>
      </c>
      <c r="B104" t="s">
        <v>263</v>
      </c>
      <c r="C104" t="s">
        <v>249</v>
      </c>
      <c r="D104" s="1">
        <v>45394</v>
      </c>
      <c r="E104" s="17">
        <v>0.25</v>
      </c>
      <c r="F104" s="17">
        <v>0.25694444444444398</v>
      </c>
      <c r="H104" t="s">
        <v>92</v>
      </c>
      <c r="I104" s="2" t="s">
        <v>93</v>
      </c>
      <c r="J104" s="2" t="s">
        <v>94</v>
      </c>
      <c r="K104">
        <v>1</v>
      </c>
      <c r="L104">
        <v>1</v>
      </c>
      <c r="M104">
        <v>1</v>
      </c>
      <c r="N104">
        <v>5</v>
      </c>
      <c r="O104">
        <v>1</v>
      </c>
      <c r="P104">
        <v>2</v>
      </c>
    </row>
    <row r="105" spans="1:16" x14ac:dyDescent="0.3">
      <c r="A105" s="7" t="s">
        <v>275</v>
      </c>
      <c r="B105" t="s">
        <v>274</v>
      </c>
      <c r="C105" t="s">
        <v>249</v>
      </c>
      <c r="D105" s="1">
        <v>45394</v>
      </c>
      <c r="E105" s="17">
        <v>0.25</v>
      </c>
      <c r="F105" s="17">
        <v>0.25694444444444398</v>
      </c>
      <c r="H105" t="s">
        <v>92</v>
      </c>
      <c r="I105" s="2" t="s">
        <v>93</v>
      </c>
      <c r="J105" s="2" t="s">
        <v>94</v>
      </c>
      <c r="K105">
        <v>1</v>
      </c>
      <c r="L105">
        <v>1</v>
      </c>
      <c r="M105">
        <v>1</v>
      </c>
      <c r="N105">
        <v>5</v>
      </c>
      <c r="O105">
        <v>1</v>
      </c>
      <c r="P105">
        <v>2</v>
      </c>
    </row>
    <row r="106" spans="1:16" x14ac:dyDescent="0.3">
      <c r="A106" s="7" t="s">
        <v>253</v>
      </c>
      <c r="B106" t="s">
        <v>255</v>
      </c>
      <c r="C106" t="s">
        <v>249</v>
      </c>
      <c r="D106" s="1">
        <v>45394</v>
      </c>
      <c r="E106" s="17">
        <v>0.25</v>
      </c>
      <c r="F106" s="17">
        <v>0.25694444444444398</v>
      </c>
      <c r="H106" t="s">
        <v>92</v>
      </c>
      <c r="I106" s="2" t="s">
        <v>93</v>
      </c>
      <c r="J106" s="2" t="s">
        <v>94</v>
      </c>
      <c r="K106">
        <v>1</v>
      </c>
      <c r="L106">
        <v>1</v>
      </c>
      <c r="M106">
        <v>1</v>
      </c>
      <c r="N106">
        <v>5</v>
      </c>
      <c r="O106">
        <v>1</v>
      </c>
      <c r="P106">
        <v>2</v>
      </c>
    </row>
    <row r="107" spans="1:16" x14ac:dyDescent="0.3">
      <c r="A107" s="7" t="s">
        <v>289</v>
      </c>
      <c r="B107" t="s">
        <v>290</v>
      </c>
      <c r="C107" t="s">
        <v>249</v>
      </c>
      <c r="D107" s="1">
        <v>45394</v>
      </c>
      <c r="E107" s="17">
        <v>0.25</v>
      </c>
      <c r="F107" s="17">
        <v>0.25694444444444398</v>
      </c>
      <c r="H107" t="s">
        <v>92</v>
      </c>
      <c r="I107" s="2" t="s">
        <v>93</v>
      </c>
      <c r="J107" s="2" t="s">
        <v>94</v>
      </c>
      <c r="K107">
        <v>1</v>
      </c>
      <c r="L107">
        <v>1</v>
      </c>
      <c r="M107">
        <v>1</v>
      </c>
      <c r="N107">
        <v>5</v>
      </c>
      <c r="O107">
        <v>1</v>
      </c>
      <c r="P107">
        <v>2</v>
      </c>
    </row>
    <row r="108" spans="1:16" x14ac:dyDescent="0.3">
      <c r="A108" s="7" t="s">
        <v>250</v>
      </c>
      <c r="B108" s="10" t="s">
        <v>257</v>
      </c>
      <c r="C108" s="7" t="s">
        <v>249</v>
      </c>
      <c r="D108" s="1">
        <v>45393</v>
      </c>
      <c r="E108" s="9">
        <v>0.25</v>
      </c>
      <c r="F108" s="9">
        <v>0.25694444444444398</v>
      </c>
      <c r="H108" s="4" t="s">
        <v>20</v>
      </c>
      <c r="I108" s="5" t="s">
        <v>22</v>
      </c>
      <c r="J108" s="5" t="s">
        <v>23</v>
      </c>
      <c r="K108">
        <v>1</v>
      </c>
      <c r="L108">
        <v>1</v>
      </c>
      <c r="M108">
        <v>1</v>
      </c>
      <c r="N108">
        <v>4</v>
      </c>
      <c r="O108">
        <v>4</v>
      </c>
    </row>
    <row r="109" spans="1:16" x14ac:dyDescent="0.3">
      <c r="A109" s="7" t="s">
        <v>275</v>
      </c>
      <c r="B109" s="10" t="s">
        <v>274</v>
      </c>
      <c r="C109" s="7" t="s">
        <v>249</v>
      </c>
      <c r="D109" s="1">
        <v>45393</v>
      </c>
      <c r="E109" s="9">
        <v>0.25</v>
      </c>
      <c r="F109" s="9">
        <v>0.25694444444444398</v>
      </c>
      <c r="H109" s="4" t="s">
        <v>20</v>
      </c>
      <c r="I109" s="5" t="s">
        <v>22</v>
      </c>
      <c r="J109" s="5" t="s">
        <v>23</v>
      </c>
      <c r="K109">
        <v>1</v>
      </c>
      <c r="L109">
        <v>1</v>
      </c>
      <c r="M109">
        <v>1</v>
      </c>
      <c r="N109">
        <v>4</v>
      </c>
      <c r="O109">
        <v>4</v>
      </c>
    </row>
    <row r="110" spans="1:16" x14ac:dyDescent="0.3">
      <c r="A110" s="7" t="s">
        <v>251</v>
      </c>
      <c r="B110" t="s">
        <v>248</v>
      </c>
      <c r="C110" s="7" t="s">
        <v>249</v>
      </c>
      <c r="D110" s="1">
        <v>45393</v>
      </c>
      <c r="E110" s="9">
        <v>0.25</v>
      </c>
      <c r="F110" s="9">
        <v>0.25694444444444398</v>
      </c>
      <c r="H110" s="4" t="s">
        <v>20</v>
      </c>
      <c r="I110" s="5" t="s">
        <v>22</v>
      </c>
      <c r="J110" s="5" t="s">
        <v>23</v>
      </c>
      <c r="K110">
        <v>1</v>
      </c>
      <c r="L110">
        <v>1</v>
      </c>
      <c r="M110">
        <v>1</v>
      </c>
      <c r="N110">
        <v>4</v>
      </c>
      <c r="O110">
        <v>4</v>
      </c>
    </row>
    <row r="111" spans="1:16" x14ac:dyDescent="0.3">
      <c r="A111" s="7" t="s">
        <v>252</v>
      </c>
      <c r="B111" t="s">
        <v>256</v>
      </c>
      <c r="C111" s="7" t="s">
        <v>249</v>
      </c>
      <c r="D111" s="1">
        <v>45393</v>
      </c>
      <c r="E111" s="9">
        <v>0.25</v>
      </c>
      <c r="F111" s="9">
        <v>0.25694444444444398</v>
      </c>
      <c r="H111" s="4" t="s">
        <v>20</v>
      </c>
      <c r="I111" s="5" t="s">
        <v>22</v>
      </c>
      <c r="J111" s="5" t="s">
        <v>23</v>
      </c>
      <c r="K111">
        <v>1</v>
      </c>
      <c r="L111">
        <v>1</v>
      </c>
      <c r="M111">
        <v>1</v>
      </c>
      <c r="N111">
        <v>4</v>
      </c>
      <c r="O111">
        <v>4</v>
      </c>
    </row>
    <row r="112" spans="1:16" x14ac:dyDescent="0.3">
      <c r="A112" s="7" t="s">
        <v>253</v>
      </c>
      <c r="B112" t="s">
        <v>255</v>
      </c>
      <c r="C112" s="7" t="s">
        <v>249</v>
      </c>
      <c r="D112" s="1">
        <v>45393</v>
      </c>
      <c r="E112" s="9">
        <v>0.25</v>
      </c>
      <c r="F112" s="9">
        <v>0.25694444444444398</v>
      </c>
      <c r="H112" s="4" t="s">
        <v>20</v>
      </c>
      <c r="I112" s="5" t="s">
        <v>22</v>
      </c>
      <c r="J112" s="5" t="s">
        <v>23</v>
      </c>
      <c r="K112">
        <v>1</v>
      </c>
      <c r="L112">
        <v>1</v>
      </c>
      <c r="M112">
        <v>1</v>
      </c>
      <c r="N112">
        <v>4</v>
      </c>
      <c r="O112">
        <v>4</v>
      </c>
    </row>
    <row r="113" spans="1:16" x14ac:dyDescent="0.3">
      <c r="A113" s="7" t="s">
        <v>270</v>
      </c>
      <c r="B113" t="s">
        <v>269</v>
      </c>
      <c r="C113" s="7" t="s">
        <v>264</v>
      </c>
      <c r="D113" s="1">
        <v>45393</v>
      </c>
      <c r="E113" s="9">
        <v>0.25</v>
      </c>
      <c r="F113" s="9">
        <v>0.25694444444444398</v>
      </c>
      <c r="H113" s="4" t="s">
        <v>20</v>
      </c>
      <c r="I113" s="5" t="s">
        <v>22</v>
      </c>
      <c r="J113" s="5" t="s">
        <v>23</v>
      </c>
      <c r="K113">
        <v>1</v>
      </c>
      <c r="L113">
        <v>1</v>
      </c>
      <c r="M113">
        <v>1</v>
      </c>
      <c r="N113">
        <v>4</v>
      </c>
      <c r="O113">
        <v>4</v>
      </c>
    </row>
    <row r="114" spans="1:16" x14ac:dyDescent="0.3">
      <c r="A114" s="7" t="s">
        <v>273</v>
      </c>
      <c r="B114" t="s">
        <v>272</v>
      </c>
      <c r="C114" s="7" t="s">
        <v>264</v>
      </c>
      <c r="D114" s="1">
        <v>45393</v>
      </c>
      <c r="E114" s="9">
        <v>0.25</v>
      </c>
      <c r="F114" s="9">
        <v>0.25694444444444398</v>
      </c>
      <c r="H114" s="4" t="s">
        <v>20</v>
      </c>
      <c r="I114" s="5" t="s">
        <v>22</v>
      </c>
      <c r="J114" s="5" t="s">
        <v>23</v>
      </c>
      <c r="K114">
        <v>1</v>
      </c>
      <c r="L114">
        <v>1</v>
      </c>
      <c r="M114">
        <v>1</v>
      </c>
      <c r="N114">
        <v>4</v>
      </c>
      <c r="O114">
        <v>4</v>
      </c>
    </row>
    <row r="115" spans="1:16" x14ac:dyDescent="0.3">
      <c r="A115" s="7" t="s">
        <v>250</v>
      </c>
      <c r="B115" t="s">
        <v>257</v>
      </c>
      <c r="C115" t="s">
        <v>249</v>
      </c>
      <c r="D115" s="1">
        <v>45394</v>
      </c>
      <c r="E115" s="17">
        <v>0.25</v>
      </c>
      <c r="F115" s="17">
        <v>0.25694444444444398</v>
      </c>
      <c r="H115" s="4" t="s">
        <v>20</v>
      </c>
      <c r="I115" s="5" t="s">
        <v>22</v>
      </c>
      <c r="J115" s="5" t="s">
        <v>23</v>
      </c>
      <c r="K115">
        <v>1</v>
      </c>
      <c r="L115">
        <v>1</v>
      </c>
      <c r="M115">
        <v>1</v>
      </c>
      <c r="N115">
        <v>5</v>
      </c>
      <c r="O115">
        <v>2</v>
      </c>
      <c r="P115">
        <v>1</v>
      </c>
    </row>
    <row r="116" spans="1:16" x14ac:dyDescent="0.3">
      <c r="A116" s="7" t="s">
        <v>253</v>
      </c>
      <c r="B116" t="s">
        <v>255</v>
      </c>
      <c r="C116" t="s">
        <v>249</v>
      </c>
      <c r="D116" s="1">
        <v>45394</v>
      </c>
      <c r="E116" s="17">
        <v>0.25</v>
      </c>
      <c r="F116" s="17">
        <v>0.25694444444444398</v>
      </c>
      <c r="H116" s="4" t="s">
        <v>20</v>
      </c>
      <c r="I116" s="5" t="s">
        <v>22</v>
      </c>
      <c r="J116" s="5" t="s">
        <v>23</v>
      </c>
      <c r="K116">
        <v>1</v>
      </c>
      <c r="L116">
        <v>1</v>
      </c>
      <c r="M116">
        <v>1</v>
      </c>
      <c r="N116">
        <v>5</v>
      </c>
      <c r="O116">
        <v>2</v>
      </c>
      <c r="P116">
        <v>1</v>
      </c>
    </row>
    <row r="117" spans="1:16" x14ac:dyDescent="0.3">
      <c r="A117" s="7" t="s">
        <v>275</v>
      </c>
      <c r="B117" t="s">
        <v>274</v>
      </c>
      <c r="C117" t="s">
        <v>249</v>
      </c>
      <c r="D117" s="1">
        <v>45394</v>
      </c>
      <c r="E117" s="17">
        <v>0.25</v>
      </c>
      <c r="F117" s="17">
        <v>0.25694444444444398</v>
      </c>
      <c r="H117" s="4" t="s">
        <v>20</v>
      </c>
      <c r="I117" s="5" t="s">
        <v>22</v>
      </c>
      <c r="J117" s="5" t="s">
        <v>23</v>
      </c>
      <c r="K117">
        <v>1</v>
      </c>
      <c r="L117">
        <v>1</v>
      </c>
      <c r="M117">
        <v>1</v>
      </c>
      <c r="N117">
        <v>5</v>
      </c>
      <c r="O117">
        <v>2</v>
      </c>
      <c r="P117">
        <v>1</v>
      </c>
    </row>
    <row r="118" spans="1:16" x14ac:dyDescent="0.3">
      <c r="A118" s="7" t="s">
        <v>252</v>
      </c>
      <c r="B118" t="s">
        <v>256</v>
      </c>
      <c r="C118" t="s">
        <v>249</v>
      </c>
      <c r="D118" s="1">
        <v>45394</v>
      </c>
      <c r="E118" s="17">
        <v>0.25</v>
      </c>
      <c r="F118" s="17">
        <v>0.25694444444444398</v>
      </c>
      <c r="H118" s="4" t="s">
        <v>20</v>
      </c>
      <c r="I118" s="5" t="s">
        <v>22</v>
      </c>
      <c r="J118" s="5" t="s">
        <v>23</v>
      </c>
      <c r="K118">
        <v>1</v>
      </c>
      <c r="L118">
        <v>1</v>
      </c>
      <c r="M118">
        <v>1</v>
      </c>
      <c r="N118">
        <v>5</v>
      </c>
      <c r="O118">
        <v>2</v>
      </c>
      <c r="P118">
        <v>1</v>
      </c>
    </row>
    <row r="119" spans="1:16" x14ac:dyDescent="0.3">
      <c r="A119" s="7" t="s">
        <v>251</v>
      </c>
      <c r="B119" t="s">
        <v>248</v>
      </c>
      <c r="C119" t="s">
        <v>249</v>
      </c>
      <c r="D119" s="1">
        <v>45394</v>
      </c>
      <c r="E119" s="17">
        <v>0.25</v>
      </c>
      <c r="F119" s="17">
        <v>0.25694444444444398</v>
      </c>
      <c r="H119" s="4" t="s">
        <v>20</v>
      </c>
      <c r="I119" s="5" t="s">
        <v>22</v>
      </c>
      <c r="J119" s="5" t="s">
        <v>23</v>
      </c>
      <c r="K119">
        <v>1</v>
      </c>
      <c r="L119">
        <v>1</v>
      </c>
      <c r="M119">
        <v>1</v>
      </c>
      <c r="N119">
        <v>5</v>
      </c>
      <c r="O119">
        <v>2</v>
      </c>
      <c r="P119">
        <v>1</v>
      </c>
    </row>
    <row r="120" spans="1:16" x14ac:dyDescent="0.3">
      <c r="A120" s="7" t="s">
        <v>262</v>
      </c>
      <c r="B120" t="s">
        <v>263</v>
      </c>
      <c r="C120" t="s">
        <v>249</v>
      </c>
      <c r="D120" s="1">
        <v>45394</v>
      </c>
      <c r="E120" s="17">
        <v>0.25</v>
      </c>
      <c r="F120" s="17">
        <v>0.25694444444444398</v>
      </c>
      <c r="H120" s="4" t="s">
        <v>20</v>
      </c>
      <c r="I120" s="5" t="s">
        <v>22</v>
      </c>
      <c r="J120" s="5" t="s">
        <v>23</v>
      </c>
      <c r="K120">
        <v>1</v>
      </c>
      <c r="L120">
        <v>1</v>
      </c>
      <c r="M120">
        <v>1</v>
      </c>
      <c r="N120">
        <v>5</v>
      </c>
      <c r="O120">
        <v>2</v>
      </c>
      <c r="P120">
        <v>1</v>
      </c>
    </row>
    <row r="121" spans="1:16" x14ac:dyDescent="0.3">
      <c r="A121" s="7" t="s">
        <v>273</v>
      </c>
      <c r="B121" t="s">
        <v>272</v>
      </c>
      <c r="C121" t="s">
        <v>264</v>
      </c>
      <c r="D121" s="1">
        <v>45394</v>
      </c>
      <c r="E121" s="17">
        <v>0.25</v>
      </c>
      <c r="F121" s="17">
        <v>0.25694444444444398</v>
      </c>
      <c r="H121" s="4" t="s">
        <v>20</v>
      </c>
      <c r="I121" s="5" t="s">
        <v>22</v>
      </c>
      <c r="J121" s="5" t="s">
        <v>23</v>
      </c>
      <c r="K121">
        <v>1</v>
      </c>
      <c r="L121">
        <v>1</v>
      </c>
      <c r="M121">
        <v>1</v>
      </c>
      <c r="N121">
        <v>5</v>
      </c>
      <c r="O121">
        <v>2</v>
      </c>
      <c r="P121">
        <v>1</v>
      </c>
    </row>
    <row r="122" spans="1:16" x14ac:dyDescent="0.3">
      <c r="A122" s="7" t="s">
        <v>260</v>
      </c>
      <c r="B122" t="s">
        <v>258</v>
      </c>
      <c r="C122" t="s">
        <v>249</v>
      </c>
      <c r="D122" s="1">
        <v>45394</v>
      </c>
      <c r="E122" s="17">
        <v>0.25</v>
      </c>
      <c r="F122" s="17">
        <v>0.25694444444444398</v>
      </c>
      <c r="H122" s="4" t="s">
        <v>20</v>
      </c>
      <c r="I122" s="5" t="s">
        <v>22</v>
      </c>
      <c r="J122" s="5" t="s">
        <v>23</v>
      </c>
      <c r="K122">
        <v>1</v>
      </c>
      <c r="L122">
        <v>1</v>
      </c>
      <c r="M122">
        <v>1</v>
      </c>
      <c r="N122">
        <v>5</v>
      </c>
      <c r="O122">
        <v>2</v>
      </c>
      <c r="P122">
        <v>1</v>
      </c>
    </row>
    <row r="123" spans="1:16" x14ac:dyDescent="0.3">
      <c r="A123" s="7" t="s">
        <v>275</v>
      </c>
      <c r="B123" t="s">
        <v>274</v>
      </c>
      <c r="C123" s="7" t="s">
        <v>249</v>
      </c>
      <c r="D123" s="1">
        <v>45393</v>
      </c>
      <c r="E123" s="9">
        <v>0.25</v>
      </c>
      <c r="F123" s="9">
        <v>0.25694444444444398</v>
      </c>
      <c r="G123" t="s">
        <v>278</v>
      </c>
      <c r="H123" t="s">
        <v>95</v>
      </c>
      <c r="I123" s="2" t="s">
        <v>98</v>
      </c>
      <c r="J123" s="2" t="s">
        <v>99</v>
      </c>
      <c r="K123">
        <v>1</v>
      </c>
      <c r="L123" t="s">
        <v>279</v>
      </c>
      <c r="M123">
        <v>1</v>
      </c>
      <c r="N123">
        <v>1</v>
      </c>
      <c r="O123">
        <v>5</v>
      </c>
    </row>
    <row r="124" spans="1:16" x14ac:dyDescent="0.3">
      <c r="A124" s="7" t="s">
        <v>250</v>
      </c>
      <c r="B124" t="s">
        <v>257</v>
      </c>
      <c r="C124" s="7" t="s">
        <v>249</v>
      </c>
      <c r="D124" s="1">
        <v>45393</v>
      </c>
      <c r="E124" s="9">
        <v>0.25</v>
      </c>
      <c r="F124" s="9">
        <v>0.25694444444444398</v>
      </c>
      <c r="G124" t="s">
        <v>278</v>
      </c>
      <c r="H124" t="s">
        <v>95</v>
      </c>
      <c r="I124" s="2" t="s">
        <v>98</v>
      </c>
      <c r="J124" s="2" t="s">
        <v>99</v>
      </c>
      <c r="K124">
        <v>1</v>
      </c>
      <c r="L124" t="s">
        <v>279</v>
      </c>
      <c r="M124">
        <v>1</v>
      </c>
      <c r="N124">
        <v>1</v>
      </c>
      <c r="O124">
        <v>5</v>
      </c>
    </row>
    <row r="125" spans="1:16" x14ac:dyDescent="0.3">
      <c r="A125" s="7" t="s">
        <v>253</v>
      </c>
      <c r="B125" t="s">
        <v>255</v>
      </c>
      <c r="C125" s="7" t="s">
        <v>249</v>
      </c>
      <c r="D125" s="1">
        <v>45393</v>
      </c>
      <c r="E125" s="9">
        <v>0.25</v>
      </c>
      <c r="F125" s="9">
        <v>0.25694444444444398</v>
      </c>
      <c r="G125" t="s">
        <v>278</v>
      </c>
      <c r="H125" t="s">
        <v>95</v>
      </c>
      <c r="I125" s="2" t="s">
        <v>98</v>
      </c>
      <c r="J125" s="2" t="s">
        <v>99</v>
      </c>
      <c r="K125">
        <v>1</v>
      </c>
      <c r="L125" t="s">
        <v>279</v>
      </c>
      <c r="M125">
        <v>1</v>
      </c>
      <c r="N125">
        <v>1</v>
      </c>
      <c r="O125">
        <v>5</v>
      </c>
    </row>
    <row r="126" spans="1:16" x14ac:dyDescent="0.3">
      <c r="A126" s="7" t="s">
        <v>251</v>
      </c>
      <c r="B126" t="s">
        <v>248</v>
      </c>
      <c r="C126" s="7" t="s">
        <v>249</v>
      </c>
      <c r="D126" s="1">
        <v>45393</v>
      </c>
      <c r="E126" s="9">
        <v>0.25</v>
      </c>
      <c r="F126" s="9">
        <v>0.25694444444444398</v>
      </c>
      <c r="G126" t="s">
        <v>278</v>
      </c>
      <c r="H126" t="s">
        <v>95</v>
      </c>
      <c r="I126" s="2" t="s">
        <v>98</v>
      </c>
      <c r="J126" s="2" t="s">
        <v>99</v>
      </c>
      <c r="K126">
        <v>1</v>
      </c>
      <c r="L126" t="s">
        <v>279</v>
      </c>
      <c r="M126">
        <v>1</v>
      </c>
      <c r="N126">
        <v>1</v>
      </c>
      <c r="O126">
        <v>5</v>
      </c>
    </row>
    <row r="127" spans="1:16" x14ac:dyDescent="0.3">
      <c r="A127" s="7" t="s">
        <v>250</v>
      </c>
      <c r="B127" t="s">
        <v>257</v>
      </c>
      <c r="C127" t="s">
        <v>249</v>
      </c>
      <c r="D127" s="1">
        <v>45394</v>
      </c>
      <c r="E127" s="17">
        <v>0.25</v>
      </c>
      <c r="F127" s="17">
        <v>0.25694444444444398</v>
      </c>
      <c r="G127" t="s">
        <v>298</v>
      </c>
      <c r="H127" t="s">
        <v>95</v>
      </c>
      <c r="I127" s="2" t="s">
        <v>98</v>
      </c>
      <c r="J127" s="2" t="s">
        <v>99</v>
      </c>
      <c r="K127">
        <v>1</v>
      </c>
      <c r="L127">
        <v>1</v>
      </c>
      <c r="M127">
        <v>1</v>
      </c>
      <c r="N127">
        <v>2</v>
      </c>
      <c r="O127">
        <v>5</v>
      </c>
      <c r="P127">
        <v>1</v>
      </c>
    </row>
    <row r="128" spans="1:16" x14ac:dyDescent="0.3">
      <c r="A128" s="7" t="s">
        <v>275</v>
      </c>
      <c r="B128" t="s">
        <v>274</v>
      </c>
      <c r="C128" t="s">
        <v>249</v>
      </c>
      <c r="D128" s="1">
        <v>45394</v>
      </c>
      <c r="E128" s="17">
        <v>0.25</v>
      </c>
      <c r="F128" s="17">
        <v>0.25694444444444398</v>
      </c>
      <c r="G128" t="s">
        <v>298</v>
      </c>
      <c r="H128" t="s">
        <v>95</v>
      </c>
      <c r="I128" s="2" t="s">
        <v>98</v>
      </c>
      <c r="J128" s="2" t="s">
        <v>99</v>
      </c>
      <c r="K128">
        <v>1</v>
      </c>
      <c r="L128">
        <v>1</v>
      </c>
      <c r="M128">
        <v>1</v>
      </c>
      <c r="N128">
        <v>2</v>
      </c>
      <c r="O128">
        <v>5</v>
      </c>
      <c r="P128">
        <v>1</v>
      </c>
    </row>
    <row r="129" spans="1:16" x14ac:dyDescent="0.3">
      <c r="A129" s="7" t="s">
        <v>251</v>
      </c>
      <c r="B129" t="s">
        <v>248</v>
      </c>
      <c r="C129" t="s">
        <v>249</v>
      </c>
      <c r="D129" s="1">
        <v>45394</v>
      </c>
      <c r="E129" s="17">
        <v>0.25</v>
      </c>
      <c r="F129" s="17">
        <v>0.25694444444444398</v>
      </c>
      <c r="G129" t="s">
        <v>298</v>
      </c>
      <c r="H129" t="s">
        <v>95</v>
      </c>
      <c r="I129" s="2" t="s">
        <v>98</v>
      </c>
      <c r="J129" s="2" t="s">
        <v>99</v>
      </c>
      <c r="K129">
        <v>1</v>
      </c>
      <c r="L129">
        <v>1</v>
      </c>
      <c r="M129">
        <v>1</v>
      </c>
      <c r="N129">
        <v>2</v>
      </c>
      <c r="O129">
        <v>5</v>
      </c>
      <c r="P129">
        <v>1</v>
      </c>
    </row>
    <row r="130" spans="1:16" x14ac:dyDescent="0.3">
      <c r="A130" s="7" t="s">
        <v>253</v>
      </c>
      <c r="B130" t="s">
        <v>255</v>
      </c>
      <c r="C130" t="s">
        <v>249</v>
      </c>
      <c r="D130" s="1">
        <v>45394</v>
      </c>
      <c r="E130" s="17">
        <v>0.25</v>
      </c>
      <c r="F130" s="17">
        <v>0.25694444444444398</v>
      </c>
      <c r="G130" t="s">
        <v>298</v>
      </c>
      <c r="H130" t="s">
        <v>95</v>
      </c>
      <c r="I130" s="2" t="s">
        <v>98</v>
      </c>
      <c r="J130" s="2" t="s">
        <v>99</v>
      </c>
      <c r="K130">
        <v>1</v>
      </c>
      <c r="L130">
        <v>1</v>
      </c>
      <c r="M130">
        <v>1</v>
      </c>
      <c r="N130">
        <v>2</v>
      </c>
      <c r="O130">
        <v>5</v>
      </c>
      <c r="P130">
        <v>1</v>
      </c>
    </row>
    <row r="131" spans="1:16" x14ac:dyDescent="0.3">
      <c r="A131" s="7" t="s">
        <v>250</v>
      </c>
      <c r="B131" t="s">
        <v>257</v>
      </c>
      <c r="C131" s="7" t="s">
        <v>249</v>
      </c>
      <c r="D131" s="1">
        <v>45393</v>
      </c>
      <c r="E131" s="9">
        <v>0.25</v>
      </c>
      <c r="F131" s="9">
        <v>0.25694444444444398</v>
      </c>
      <c r="H131" s="4" t="s">
        <v>101</v>
      </c>
      <c r="I131" s="5" t="s">
        <v>102</v>
      </c>
      <c r="J131" s="5" t="s">
        <v>103</v>
      </c>
      <c r="K131">
        <v>1</v>
      </c>
      <c r="L131">
        <v>1</v>
      </c>
      <c r="M131">
        <v>1</v>
      </c>
      <c r="N131">
        <v>2</v>
      </c>
      <c r="O131">
        <v>5</v>
      </c>
    </row>
    <row r="132" spans="1:16" x14ac:dyDescent="0.3">
      <c r="A132" s="7" t="s">
        <v>275</v>
      </c>
      <c r="B132" t="s">
        <v>274</v>
      </c>
      <c r="C132" s="7" t="s">
        <v>249</v>
      </c>
      <c r="D132" s="1">
        <v>45393</v>
      </c>
      <c r="E132" s="9">
        <v>0.25</v>
      </c>
      <c r="F132" s="9">
        <v>0.25694444444444398</v>
      </c>
      <c r="H132" s="4" t="s">
        <v>101</v>
      </c>
      <c r="I132" s="5" t="s">
        <v>102</v>
      </c>
      <c r="J132" s="5" t="s">
        <v>103</v>
      </c>
      <c r="K132">
        <v>1</v>
      </c>
      <c r="L132">
        <v>1</v>
      </c>
      <c r="M132">
        <v>1</v>
      </c>
      <c r="N132">
        <v>2</v>
      </c>
      <c r="O132">
        <v>5</v>
      </c>
    </row>
    <row r="133" spans="1:16" x14ac:dyDescent="0.3">
      <c r="A133" s="7" t="s">
        <v>253</v>
      </c>
      <c r="B133" t="s">
        <v>255</v>
      </c>
      <c r="C133" s="7" t="s">
        <v>249</v>
      </c>
      <c r="D133" s="1">
        <v>45393</v>
      </c>
      <c r="E133" s="9">
        <v>0.25</v>
      </c>
      <c r="F133" s="9">
        <v>0.25694444444444398</v>
      </c>
      <c r="H133" s="4" t="s">
        <v>101</v>
      </c>
      <c r="I133" s="5" t="s">
        <v>102</v>
      </c>
      <c r="J133" s="5" t="s">
        <v>103</v>
      </c>
      <c r="K133">
        <v>1</v>
      </c>
      <c r="L133">
        <v>1</v>
      </c>
      <c r="M133">
        <v>1</v>
      </c>
      <c r="N133">
        <v>2</v>
      </c>
      <c r="O133">
        <v>5</v>
      </c>
    </row>
    <row r="134" spans="1:16" x14ac:dyDescent="0.3">
      <c r="A134" s="7" t="s">
        <v>275</v>
      </c>
      <c r="B134" t="s">
        <v>274</v>
      </c>
      <c r="C134" t="s">
        <v>249</v>
      </c>
      <c r="D134" s="1">
        <v>45394</v>
      </c>
      <c r="E134" s="17">
        <v>0.25</v>
      </c>
      <c r="F134" s="17">
        <v>0.25694444444444398</v>
      </c>
      <c r="H134" s="4" t="s">
        <v>101</v>
      </c>
      <c r="I134" s="5" t="s">
        <v>102</v>
      </c>
      <c r="J134" s="5" t="s">
        <v>103</v>
      </c>
      <c r="K134">
        <v>1</v>
      </c>
      <c r="L134">
        <v>1</v>
      </c>
      <c r="M134">
        <v>1</v>
      </c>
      <c r="N134">
        <v>4</v>
      </c>
      <c r="O134">
        <v>5</v>
      </c>
      <c r="P134">
        <v>1</v>
      </c>
    </row>
    <row r="135" spans="1:16" x14ac:dyDescent="0.3">
      <c r="A135" s="7" t="s">
        <v>250</v>
      </c>
      <c r="B135" t="s">
        <v>257</v>
      </c>
      <c r="C135" t="s">
        <v>249</v>
      </c>
      <c r="D135" s="1">
        <v>45394</v>
      </c>
      <c r="E135" s="17">
        <v>0.25</v>
      </c>
      <c r="F135" s="17">
        <v>0.25694444444444398</v>
      </c>
      <c r="H135" s="4" t="s">
        <v>101</v>
      </c>
      <c r="I135" s="5" t="s">
        <v>102</v>
      </c>
      <c r="J135" s="5" t="s">
        <v>103</v>
      </c>
      <c r="K135">
        <v>1</v>
      </c>
      <c r="L135">
        <v>1</v>
      </c>
      <c r="M135">
        <v>1</v>
      </c>
      <c r="N135">
        <v>4</v>
      </c>
      <c r="O135">
        <v>5</v>
      </c>
      <c r="P135">
        <v>1</v>
      </c>
    </row>
    <row r="136" spans="1:16" x14ac:dyDescent="0.3">
      <c r="A136" s="7" t="s">
        <v>253</v>
      </c>
      <c r="B136" t="s">
        <v>255</v>
      </c>
      <c r="C136" t="s">
        <v>249</v>
      </c>
      <c r="D136" s="1">
        <v>45394</v>
      </c>
      <c r="E136" s="17">
        <v>0.25</v>
      </c>
      <c r="F136" s="17">
        <v>0.25694444444444398</v>
      </c>
      <c r="H136" s="4" t="s">
        <v>101</v>
      </c>
      <c r="I136" s="5" t="s">
        <v>102</v>
      </c>
      <c r="J136" s="5" t="s">
        <v>103</v>
      </c>
      <c r="K136">
        <v>1</v>
      </c>
      <c r="L136">
        <v>1</v>
      </c>
      <c r="M136">
        <v>1</v>
      </c>
      <c r="N136">
        <v>4</v>
      </c>
      <c r="O136">
        <v>5</v>
      </c>
      <c r="P136">
        <v>1</v>
      </c>
    </row>
    <row r="137" spans="1:16" x14ac:dyDescent="0.3">
      <c r="A137" s="7" t="s">
        <v>262</v>
      </c>
      <c r="B137" t="s">
        <v>263</v>
      </c>
      <c r="C137" t="s">
        <v>249</v>
      </c>
      <c r="D137" s="1">
        <v>45394</v>
      </c>
      <c r="E137" s="17">
        <v>0.25</v>
      </c>
      <c r="F137" s="17">
        <v>0.25694444444444398</v>
      </c>
      <c r="H137" s="4" t="s">
        <v>101</v>
      </c>
      <c r="I137" s="5" t="s">
        <v>102</v>
      </c>
      <c r="J137" s="5" t="s">
        <v>103</v>
      </c>
      <c r="K137">
        <v>1</v>
      </c>
      <c r="L137">
        <v>1</v>
      </c>
      <c r="M137">
        <v>1</v>
      </c>
      <c r="N137">
        <v>4</v>
      </c>
      <c r="O137">
        <v>5</v>
      </c>
      <c r="P137">
        <v>1</v>
      </c>
    </row>
    <row r="138" spans="1:16" x14ac:dyDescent="0.3">
      <c r="A138" s="7" t="s">
        <v>254</v>
      </c>
      <c r="B138" t="s">
        <v>259</v>
      </c>
      <c r="C138" t="s">
        <v>249</v>
      </c>
      <c r="D138" s="1">
        <v>45394</v>
      </c>
      <c r="E138" s="17">
        <v>0.25</v>
      </c>
      <c r="F138" s="17">
        <v>0.25694444444444398</v>
      </c>
      <c r="H138" s="4" t="s">
        <v>101</v>
      </c>
      <c r="I138" s="5" t="s">
        <v>102</v>
      </c>
      <c r="J138" s="5" t="s">
        <v>103</v>
      </c>
      <c r="K138">
        <v>1</v>
      </c>
      <c r="L138">
        <v>1</v>
      </c>
      <c r="M138">
        <v>1</v>
      </c>
      <c r="N138">
        <v>4</v>
      </c>
      <c r="O138">
        <v>5</v>
      </c>
      <c r="P138">
        <v>1</v>
      </c>
    </row>
    <row r="139" spans="1:16" x14ac:dyDescent="0.3">
      <c r="A139" s="7" t="s">
        <v>252</v>
      </c>
      <c r="B139" t="s">
        <v>256</v>
      </c>
      <c r="C139" t="s">
        <v>249</v>
      </c>
      <c r="D139" s="1">
        <v>45394</v>
      </c>
      <c r="E139" s="17">
        <v>0.25</v>
      </c>
      <c r="F139" s="17">
        <v>0.25694444444444398</v>
      </c>
      <c r="H139" s="4" t="s">
        <v>101</v>
      </c>
      <c r="I139" s="5" t="s">
        <v>102</v>
      </c>
      <c r="J139" s="5" t="s">
        <v>103</v>
      </c>
      <c r="K139">
        <v>1</v>
      </c>
      <c r="L139">
        <v>1</v>
      </c>
      <c r="M139">
        <v>1</v>
      </c>
      <c r="N139">
        <v>4</v>
      </c>
      <c r="O139">
        <v>5</v>
      </c>
      <c r="P139">
        <v>1</v>
      </c>
    </row>
    <row r="140" spans="1:16" x14ac:dyDescent="0.3">
      <c r="A140" s="7" t="s">
        <v>275</v>
      </c>
      <c r="B140" t="s">
        <v>274</v>
      </c>
      <c r="C140" s="7" t="s">
        <v>249</v>
      </c>
      <c r="D140" s="1">
        <v>45379</v>
      </c>
      <c r="E140" s="9">
        <v>0.25</v>
      </c>
      <c r="F140" s="9">
        <v>0.25694444444444398</v>
      </c>
      <c r="G140" t="s">
        <v>280</v>
      </c>
      <c r="H140" t="s">
        <v>105</v>
      </c>
      <c r="I140" s="2" t="s">
        <v>106</v>
      </c>
      <c r="J140" s="2" t="s">
        <v>107</v>
      </c>
      <c r="K140">
        <v>1</v>
      </c>
      <c r="L140">
        <v>1</v>
      </c>
      <c r="M140">
        <v>1</v>
      </c>
      <c r="N140">
        <v>5</v>
      </c>
      <c r="O140">
        <v>1</v>
      </c>
    </row>
    <row r="141" spans="1:16" x14ac:dyDescent="0.3">
      <c r="A141" s="7" t="s">
        <v>250</v>
      </c>
      <c r="B141" t="s">
        <v>257</v>
      </c>
      <c r="C141" s="7" t="s">
        <v>249</v>
      </c>
      <c r="D141" s="1">
        <v>45379</v>
      </c>
      <c r="E141" s="9">
        <v>0.25</v>
      </c>
      <c r="F141" s="9">
        <v>0.25694444444444398</v>
      </c>
      <c r="H141" t="s">
        <v>105</v>
      </c>
      <c r="I141" s="2" t="s">
        <v>106</v>
      </c>
      <c r="J141" s="2" t="s">
        <v>107</v>
      </c>
      <c r="K141">
        <v>1</v>
      </c>
      <c r="L141">
        <v>1</v>
      </c>
      <c r="M141">
        <v>1</v>
      </c>
      <c r="N141">
        <v>5</v>
      </c>
      <c r="O141">
        <v>1</v>
      </c>
    </row>
    <row r="142" spans="1:16" x14ac:dyDescent="0.3">
      <c r="A142" s="7" t="s">
        <v>253</v>
      </c>
      <c r="B142" t="s">
        <v>255</v>
      </c>
      <c r="C142" s="7" t="s">
        <v>249</v>
      </c>
      <c r="D142" s="1">
        <v>45379</v>
      </c>
      <c r="E142" s="9">
        <v>0.25</v>
      </c>
      <c r="F142" s="9">
        <v>0.25694444444444398</v>
      </c>
      <c r="H142" t="s">
        <v>105</v>
      </c>
      <c r="I142" s="2" t="s">
        <v>106</v>
      </c>
      <c r="J142" s="2" t="s">
        <v>107</v>
      </c>
      <c r="K142">
        <v>1</v>
      </c>
      <c r="L142">
        <v>1</v>
      </c>
      <c r="M142">
        <v>1</v>
      </c>
      <c r="N142">
        <v>5</v>
      </c>
      <c r="O142">
        <v>1</v>
      </c>
    </row>
    <row r="143" spans="1:16" x14ac:dyDescent="0.3">
      <c r="A143" s="7" t="s">
        <v>262</v>
      </c>
      <c r="B143" t="s">
        <v>263</v>
      </c>
      <c r="C143" s="7" t="s">
        <v>249</v>
      </c>
      <c r="D143" s="1">
        <v>45379</v>
      </c>
      <c r="E143" s="9">
        <v>0.25</v>
      </c>
      <c r="F143" s="9">
        <v>0.25694444444444398</v>
      </c>
      <c r="H143" t="s">
        <v>105</v>
      </c>
      <c r="I143" s="2" t="s">
        <v>106</v>
      </c>
      <c r="J143" s="2" t="s">
        <v>107</v>
      </c>
      <c r="K143">
        <v>1</v>
      </c>
      <c r="L143">
        <v>1</v>
      </c>
      <c r="M143">
        <v>1</v>
      </c>
      <c r="N143">
        <v>5</v>
      </c>
      <c r="O143">
        <v>1</v>
      </c>
    </row>
    <row r="144" spans="1:16" x14ac:dyDescent="0.3">
      <c r="A144" s="7" t="s">
        <v>270</v>
      </c>
      <c r="B144" t="s">
        <v>269</v>
      </c>
      <c r="C144" s="7" t="s">
        <v>264</v>
      </c>
      <c r="D144" s="1">
        <v>45379</v>
      </c>
      <c r="E144" s="9">
        <v>0.25</v>
      </c>
      <c r="F144" s="9">
        <v>0.25694444444444398</v>
      </c>
      <c r="H144" t="s">
        <v>105</v>
      </c>
      <c r="I144" s="2" t="s">
        <v>106</v>
      </c>
      <c r="J144" s="2" t="s">
        <v>107</v>
      </c>
      <c r="K144">
        <v>1</v>
      </c>
      <c r="L144">
        <v>1</v>
      </c>
      <c r="M144">
        <v>1</v>
      </c>
      <c r="N144">
        <v>5</v>
      </c>
      <c r="O144">
        <v>1</v>
      </c>
    </row>
    <row r="145" spans="1:16" x14ac:dyDescent="0.3">
      <c r="A145" s="7" t="s">
        <v>275</v>
      </c>
      <c r="B145" t="s">
        <v>274</v>
      </c>
      <c r="C145" t="s">
        <v>249</v>
      </c>
      <c r="D145" s="1">
        <v>45380</v>
      </c>
      <c r="E145" s="17">
        <v>0.25</v>
      </c>
      <c r="F145" s="17">
        <v>0.25694444444444398</v>
      </c>
      <c r="H145" t="s">
        <v>105</v>
      </c>
      <c r="I145" s="2" t="s">
        <v>106</v>
      </c>
      <c r="J145" s="2" t="s">
        <v>107</v>
      </c>
      <c r="K145">
        <v>1</v>
      </c>
      <c r="L145">
        <v>1</v>
      </c>
      <c r="M145">
        <v>1</v>
      </c>
      <c r="N145">
        <v>4</v>
      </c>
      <c r="O145">
        <v>1</v>
      </c>
      <c r="P145">
        <v>1</v>
      </c>
    </row>
    <row r="146" spans="1:16" x14ac:dyDescent="0.3">
      <c r="A146" s="7" t="s">
        <v>250</v>
      </c>
      <c r="B146" t="s">
        <v>257</v>
      </c>
      <c r="C146" t="s">
        <v>249</v>
      </c>
      <c r="D146" s="1">
        <v>45380</v>
      </c>
      <c r="E146" s="17">
        <v>0.25</v>
      </c>
      <c r="F146" s="17">
        <v>0.25694444444444398</v>
      </c>
      <c r="H146" t="s">
        <v>105</v>
      </c>
      <c r="I146" s="2" t="s">
        <v>106</v>
      </c>
      <c r="J146" s="2" t="s">
        <v>107</v>
      </c>
      <c r="K146">
        <v>1</v>
      </c>
      <c r="L146">
        <v>1</v>
      </c>
      <c r="M146">
        <v>1</v>
      </c>
      <c r="N146">
        <v>4</v>
      </c>
      <c r="O146">
        <v>1</v>
      </c>
      <c r="P146">
        <v>1</v>
      </c>
    </row>
    <row r="147" spans="1:16" x14ac:dyDescent="0.3">
      <c r="A147" s="7" t="s">
        <v>262</v>
      </c>
      <c r="B147" t="s">
        <v>263</v>
      </c>
      <c r="C147" t="s">
        <v>249</v>
      </c>
      <c r="D147" s="1">
        <v>45380</v>
      </c>
      <c r="E147" s="17">
        <v>0.25</v>
      </c>
      <c r="F147" s="17">
        <v>0.25694444444444398</v>
      </c>
      <c r="H147" t="s">
        <v>105</v>
      </c>
      <c r="I147" s="2" t="s">
        <v>106</v>
      </c>
      <c r="J147" s="2" t="s">
        <v>107</v>
      </c>
      <c r="K147">
        <v>1</v>
      </c>
      <c r="L147">
        <v>1</v>
      </c>
      <c r="M147">
        <v>1</v>
      </c>
      <c r="N147">
        <v>4</v>
      </c>
      <c r="O147">
        <v>1</v>
      </c>
      <c r="P147">
        <v>1</v>
      </c>
    </row>
    <row r="148" spans="1:16" x14ac:dyDescent="0.3">
      <c r="A148" s="7" t="s">
        <v>253</v>
      </c>
      <c r="B148" t="s">
        <v>255</v>
      </c>
      <c r="C148" t="s">
        <v>249</v>
      </c>
      <c r="D148" s="1">
        <v>45380</v>
      </c>
      <c r="E148" s="17">
        <v>0.25</v>
      </c>
      <c r="F148" s="17">
        <v>0.25694444444444398</v>
      </c>
      <c r="H148" t="s">
        <v>105</v>
      </c>
      <c r="I148" s="2" t="s">
        <v>106</v>
      </c>
      <c r="J148" s="2" t="s">
        <v>107</v>
      </c>
      <c r="K148">
        <v>1</v>
      </c>
      <c r="L148">
        <v>1</v>
      </c>
      <c r="M148">
        <v>1</v>
      </c>
      <c r="N148">
        <v>4</v>
      </c>
      <c r="O148">
        <v>1</v>
      </c>
      <c r="P148">
        <v>1</v>
      </c>
    </row>
    <row r="149" spans="1:16" x14ac:dyDescent="0.3">
      <c r="A149" s="7" t="s">
        <v>260</v>
      </c>
      <c r="B149" t="s">
        <v>258</v>
      </c>
      <c r="C149" t="s">
        <v>249</v>
      </c>
      <c r="D149" s="1">
        <v>45380</v>
      </c>
      <c r="E149" s="17">
        <v>0.25</v>
      </c>
      <c r="F149" s="17">
        <v>0.25694444444444398</v>
      </c>
      <c r="H149" t="s">
        <v>105</v>
      </c>
      <c r="I149" s="2" t="s">
        <v>106</v>
      </c>
      <c r="J149" s="2" t="s">
        <v>107</v>
      </c>
      <c r="K149">
        <v>1</v>
      </c>
      <c r="L149">
        <v>1</v>
      </c>
      <c r="M149">
        <v>1</v>
      </c>
      <c r="N149">
        <v>4</v>
      </c>
      <c r="O149">
        <v>1</v>
      </c>
      <c r="P149">
        <v>1</v>
      </c>
    </row>
    <row r="150" spans="1:16" x14ac:dyDescent="0.3">
      <c r="A150" s="7" t="s">
        <v>270</v>
      </c>
      <c r="B150" t="s">
        <v>269</v>
      </c>
      <c r="C150" t="s">
        <v>264</v>
      </c>
      <c r="D150" s="1">
        <v>45380</v>
      </c>
      <c r="E150" s="17">
        <v>0.25</v>
      </c>
      <c r="F150" s="17">
        <v>0.25694444444444398</v>
      </c>
      <c r="H150" t="s">
        <v>105</v>
      </c>
      <c r="I150" s="2" t="s">
        <v>106</v>
      </c>
      <c r="J150" s="2" t="s">
        <v>107</v>
      </c>
      <c r="K150">
        <v>1</v>
      </c>
      <c r="L150">
        <v>1</v>
      </c>
      <c r="M150">
        <v>1</v>
      </c>
      <c r="N150">
        <v>4</v>
      </c>
      <c r="O150">
        <v>1</v>
      </c>
      <c r="P150">
        <v>1</v>
      </c>
    </row>
    <row r="151" spans="1:16" x14ac:dyDescent="0.3">
      <c r="A151" s="7" t="s">
        <v>275</v>
      </c>
      <c r="B151" t="s">
        <v>274</v>
      </c>
      <c r="C151" s="7" t="s">
        <v>249</v>
      </c>
      <c r="D151" s="1">
        <v>45379</v>
      </c>
      <c r="E151" s="9">
        <v>0.25</v>
      </c>
      <c r="F151" s="9">
        <v>0.25694444444444398</v>
      </c>
      <c r="G151" t="s">
        <v>281</v>
      </c>
      <c r="H151" s="4" t="s">
        <v>27</v>
      </c>
      <c r="I151" s="5" t="s">
        <v>25</v>
      </c>
      <c r="J151" s="5" t="s">
        <v>26</v>
      </c>
      <c r="K151">
        <v>1</v>
      </c>
      <c r="L151">
        <v>1</v>
      </c>
      <c r="M151">
        <v>1</v>
      </c>
      <c r="N151">
        <v>4</v>
      </c>
      <c r="O151">
        <v>1</v>
      </c>
      <c r="P151">
        <v>3</v>
      </c>
    </row>
    <row r="152" spans="1:16" x14ac:dyDescent="0.3">
      <c r="A152" s="7" t="s">
        <v>253</v>
      </c>
      <c r="B152" t="s">
        <v>255</v>
      </c>
      <c r="C152" s="7" t="s">
        <v>249</v>
      </c>
      <c r="D152" s="1">
        <v>45379</v>
      </c>
      <c r="E152" s="9">
        <v>0.25</v>
      </c>
      <c r="F152" s="9">
        <v>0.25694444444444398</v>
      </c>
      <c r="H152" s="4" t="s">
        <v>27</v>
      </c>
      <c r="I152" s="5" t="s">
        <v>25</v>
      </c>
      <c r="J152" s="5" t="s">
        <v>26</v>
      </c>
      <c r="K152">
        <v>1</v>
      </c>
      <c r="L152">
        <v>1</v>
      </c>
      <c r="M152">
        <v>1</v>
      </c>
      <c r="N152">
        <v>4</v>
      </c>
      <c r="O152">
        <v>1</v>
      </c>
      <c r="P152">
        <v>3</v>
      </c>
    </row>
    <row r="153" spans="1:16" x14ac:dyDescent="0.3">
      <c r="A153" s="7" t="s">
        <v>250</v>
      </c>
      <c r="B153" t="s">
        <v>257</v>
      </c>
      <c r="C153" s="7" t="s">
        <v>249</v>
      </c>
      <c r="D153" s="1">
        <v>45379</v>
      </c>
      <c r="E153" s="9">
        <v>0.25</v>
      </c>
      <c r="F153" s="9">
        <v>0.25694444444444398</v>
      </c>
      <c r="H153" s="4" t="s">
        <v>27</v>
      </c>
      <c r="I153" s="5" t="s">
        <v>25</v>
      </c>
      <c r="J153" s="5" t="s">
        <v>26</v>
      </c>
      <c r="K153">
        <v>1</v>
      </c>
      <c r="L153">
        <v>1</v>
      </c>
      <c r="M153">
        <v>1</v>
      </c>
      <c r="N153">
        <v>4</v>
      </c>
      <c r="O153">
        <v>1</v>
      </c>
      <c r="P153">
        <v>3</v>
      </c>
    </row>
    <row r="154" spans="1:16" x14ac:dyDescent="0.3">
      <c r="A154" s="7" t="s">
        <v>262</v>
      </c>
      <c r="B154" t="s">
        <v>263</v>
      </c>
      <c r="C154" s="7" t="s">
        <v>249</v>
      </c>
      <c r="D154" s="1">
        <v>45379</v>
      </c>
      <c r="E154" s="9">
        <v>0.25</v>
      </c>
      <c r="F154" s="9">
        <v>0.25694444444444398</v>
      </c>
      <c r="H154" s="4" t="s">
        <v>27</v>
      </c>
      <c r="I154" s="5" t="s">
        <v>25</v>
      </c>
      <c r="J154" s="5" t="s">
        <v>26</v>
      </c>
      <c r="K154">
        <v>1</v>
      </c>
      <c r="L154">
        <v>1</v>
      </c>
      <c r="M154">
        <v>1</v>
      </c>
      <c r="N154">
        <v>4</v>
      </c>
      <c r="O154">
        <v>1</v>
      </c>
      <c r="P154">
        <v>3</v>
      </c>
    </row>
    <row r="155" spans="1:16" x14ac:dyDescent="0.3">
      <c r="A155" s="7" t="s">
        <v>270</v>
      </c>
      <c r="B155" t="s">
        <v>269</v>
      </c>
      <c r="C155" s="7" t="s">
        <v>264</v>
      </c>
      <c r="D155" s="1">
        <v>45379</v>
      </c>
      <c r="E155" s="9">
        <v>0.25</v>
      </c>
      <c r="F155" s="9">
        <v>0.25694444444444398</v>
      </c>
      <c r="H155" s="4" t="s">
        <v>27</v>
      </c>
      <c r="I155" s="5" t="s">
        <v>25</v>
      </c>
      <c r="J155" s="5" t="s">
        <v>26</v>
      </c>
      <c r="K155">
        <v>1</v>
      </c>
      <c r="L155">
        <v>1</v>
      </c>
      <c r="M155">
        <v>1</v>
      </c>
      <c r="N155">
        <v>4</v>
      </c>
      <c r="O155">
        <v>1</v>
      </c>
      <c r="P155">
        <v>3</v>
      </c>
    </row>
    <row r="156" spans="1:16" x14ac:dyDescent="0.3">
      <c r="A156" s="7" t="s">
        <v>253</v>
      </c>
      <c r="B156" t="s">
        <v>255</v>
      </c>
      <c r="C156" t="s">
        <v>249</v>
      </c>
      <c r="D156" s="1">
        <v>45380</v>
      </c>
      <c r="E156" s="17">
        <v>0.25</v>
      </c>
      <c r="F156" s="17">
        <v>0.25694444444444398</v>
      </c>
      <c r="H156" s="4" t="s">
        <v>27</v>
      </c>
      <c r="I156" s="5" t="s">
        <v>25</v>
      </c>
      <c r="J156" s="5" t="s">
        <v>26</v>
      </c>
      <c r="K156">
        <v>1</v>
      </c>
      <c r="L156">
        <v>1</v>
      </c>
      <c r="M156">
        <v>1</v>
      </c>
      <c r="N156">
        <v>4</v>
      </c>
      <c r="O156">
        <v>1</v>
      </c>
      <c r="P156">
        <v>3</v>
      </c>
    </row>
    <row r="157" spans="1:16" x14ac:dyDescent="0.3">
      <c r="A157" s="7" t="s">
        <v>275</v>
      </c>
      <c r="B157" t="s">
        <v>274</v>
      </c>
      <c r="C157" t="s">
        <v>249</v>
      </c>
      <c r="D157" s="1">
        <v>45380</v>
      </c>
      <c r="E157" s="17">
        <v>0.25</v>
      </c>
      <c r="F157" s="17">
        <v>0.25694444444444398</v>
      </c>
      <c r="H157" s="4" t="s">
        <v>27</v>
      </c>
      <c r="I157" s="5" t="s">
        <v>25</v>
      </c>
      <c r="J157" s="5" t="s">
        <v>26</v>
      </c>
      <c r="K157">
        <v>1</v>
      </c>
      <c r="L157">
        <v>1</v>
      </c>
      <c r="M157">
        <v>1</v>
      </c>
      <c r="N157">
        <v>4</v>
      </c>
      <c r="O157">
        <v>1</v>
      </c>
      <c r="P157">
        <v>3</v>
      </c>
    </row>
    <row r="158" spans="1:16" x14ac:dyDescent="0.3">
      <c r="A158" s="7" t="s">
        <v>262</v>
      </c>
      <c r="B158" t="s">
        <v>263</v>
      </c>
      <c r="C158" t="s">
        <v>249</v>
      </c>
      <c r="D158" s="1">
        <v>45380</v>
      </c>
      <c r="E158" s="17">
        <v>0.25</v>
      </c>
      <c r="F158" s="17">
        <v>0.25694444444444398</v>
      </c>
      <c r="H158" s="4" t="s">
        <v>27</v>
      </c>
      <c r="I158" s="5" t="s">
        <v>25</v>
      </c>
      <c r="J158" s="5" t="s">
        <v>26</v>
      </c>
      <c r="K158">
        <v>1</v>
      </c>
      <c r="L158">
        <v>1</v>
      </c>
      <c r="M158">
        <v>1</v>
      </c>
      <c r="N158">
        <v>4</v>
      </c>
      <c r="O158">
        <v>1</v>
      </c>
      <c r="P158">
        <v>3</v>
      </c>
    </row>
    <row r="159" spans="1:16" x14ac:dyDescent="0.3">
      <c r="A159" s="7" t="s">
        <v>250</v>
      </c>
      <c r="B159" t="s">
        <v>257</v>
      </c>
      <c r="C159" t="s">
        <v>249</v>
      </c>
      <c r="D159" s="1">
        <v>45380</v>
      </c>
      <c r="E159" s="17">
        <v>0.25</v>
      </c>
      <c r="F159" s="17">
        <v>0.25694444444444398</v>
      </c>
      <c r="H159" s="4" t="s">
        <v>27</v>
      </c>
      <c r="I159" s="5" t="s">
        <v>25</v>
      </c>
      <c r="J159" s="5" t="s">
        <v>26</v>
      </c>
      <c r="K159">
        <v>1</v>
      </c>
      <c r="L159">
        <v>1</v>
      </c>
      <c r="M159">
        <v>1</v>
      </c>
      <c r="N159">
        <v>4</v>
      </c>
      <c r="O159">
        <v>1</v>
      </c>
      <c r="P159">
        <v>3</v>
      </c>
    </row>
    <row r="160" spans="1:16" x14ac:dyDescent="0.3">
      <c r="A160" s="7" t="s">
        <v>254</v>
      </c>
      <c r="B160" t="s">
        <v>259</v>
      </c>
      <c r="C160" t="s">
        <v>249</v>
      </c>
      <c r="D160" s="1">
        <v>45380</v>
      </c>
      <c r="E160" s="17">
        <v>0.25</v>
      </c>
      <c r="F160" s="17">
        <v>0.25694444444444398</v>
      </c>
      <c r="H160" s="4" t="s">
        <v>27</v>
      </c>
      <c r="I160" s="5" t="s">
        <v>25</v>
      </c>
      <c r="J160" s="5" t="s">
        <v>26</v>
      </c>
      <c r="K160">
        <v>1</v>
      </c>
      <c r="L160">
        <v>1</v>
      </c>
      <c r="M160">
        <v>1</v>
      </c>
      <c r="N160">
        <v>4</v>
      </c>
      <c r="O160">
        <v>1</v>
      </c>
      <c r="P160">
        <v>3</v>
      </c>
    </row>
    <row r="161" spans="1:16" x14ac:dyDescent="0.3">
      <c r="A161" s="7" t="s">
        <v>253</v>
      </c>
      <c r="B161" t="s">
        <v>255</v>
      </c>
      <c r="C161" s="7" t="s">
        <v>249</v>
      </c>
      <c r="D161" s="1">
        <v>45379</v>
      </c>
      <c r="E161" s="9">
        <v>0.25</v>
      </c>
      <c r="F161" s="9">
        <v>0.25694444444444398</v>
      </c>
      <c r="H161" t="s">
        <v>109</v>
      </c>
      <c r="I161" s="2" t="s">
        <v>111</v>
      </c>
      <c r="J161" s="2" t="s">
        <v>112</v>
      </c>
      <c r="K161">
        <v>1</v>
      </c>
      <c r="L161">
        <v>1</v>
      </c>
      <c r="M161">
        <v>1</v>
      </c>
      <c r="N161">
        <v>4</v>
      </c>
      <c r="O161">
        <v>1</v>
      </c>
      <c r="P161">
        <v>1</v>
      </c>
    </row>
    <row r="162" spans="1:16" x14ac:dyDescent="0.3">
      <c r="A162" s="7" t="s">
        <v>251</v>
      </c>
      <c r="B162" t="s">
        <v>248</v>
      </c>
      <c r="C162" s="7" t="s">
        <v>249</v>
      </c>
      <c r="D162" s="1">
        <v>45379</v>
      </c>
      <c r="E162" s="9">
        <v>0.25</v>
      </c>
      <c r="F162" s="9">
        <v>0.25694444444444398</v>
      </c>
      <c r="H162" t="s">
        <v>109</v>
      </c>
      <c r="I162" s="2" t="s">
        <v>111</v>
      </c>
      <c r="J162" s="2" t="s">
        <v>112</v>
      </c>
      <c r="K162">
        <v>1</v>
      </c>
      <c r="L162">
        <v>1</v>
      </c>
      <c r="M162">
        <v>1</v>
      </c>
      <c r="N162">
        <v>4</v>
      </c>
      <c r="O162">
        <v>1</v>
      </c>
      <c r="P162">
        <v>1</v>
      </c>
    </row>
    <row r="163" spans="1:16" x14ac:dyDescent="0.3">
      <c r="A163" s="7" t="s">
        <v>250</v>
      </c>
      <c r="B163" t="s">
        <v>257</v>
      </c>
      <c r="C163" s="7" t="s">
        <v>249</v>
      </c>
      <c r="D163" s="1">
        <v>45379</v>
      </c>
      <c r="E163" s="9">
        <v>0.25</v>
      </c>
      <c r="F163" s="9">
        <v>0.25694444444444398</v>
      </c>
      <c r="H163" t="s">
        <v>109</v>
      </c>
      <c r="I163" s="2" t="s">
        <v>111</v>
      </c>
      <c r="J163" s="2" t="s">
        <v>112</v>
      </c>
      <c r="K163">
        <v>1</v>
      </c>
      <c r="L163">
        <v>1</v>
      </c>
      <c r="M163">
        <v>1</v>
      </c>
      <c r="N163">
        <v>4</v>
      </c>
      <c r="O163">
        <v>1</v>
      </c>
      <c r="P163">
        <v>1</v>
      </c>
    </row>
    <row r="164" spans="1:16" x14ac:dyDescent="0.3">
      <c r="A164" s="7" t="s">
        <v>262</v>
      </c>
      <c r="B164" t="s">
        <v>263</v>
      </c>
      <c r="C164" s="7" t="s">
        <v>249</v>
      </c>
      <c r="D164" s="1">
        <v>45379</v>
      </c>
      <c r="E164" s="9">
        <v>0.25</v>
      </c>
      <c r="F164" s="9">
        <v>0.25694444444444398</v>
      </c>
      <c r="H164" t="s">
        <v>109</v>
      </c>
      <c r="I164" s="2" t="s">
        <v>111</v>
      </c>
      <c r="J164" s="2" t="s">
        <v>112</v>
      </c>
      <c r="K164">
        <v>1</v>
      </c>
      <c r="L164">
        <v>1</v>
      </c>
      <c r="M164">
        <v>1</v>
      </c>
      <c r="N164">
        <v>4</v>
      </c>
      <c r="O164">
        <v>1</v>
      </c>
      <c r="P164">
        <v>1</v>
      </c>
    </row>
    <row r="165" spans="1:16" x14ac:dyDescent="0.3">
      <c r="A165" s="7" t="s">
        <v>250</v>
      </c>
      <c r="B165" t="s">
        <v>257</v>
      </c>
      <c r="C165" t="s">
        <v>249</v>
      </c>
      <c r="D165" s="1">
        <v>45380</v>
      </c>
      <c r="E165" s="17">
        <v>0.25</v>
      </c>
      <c r="F165" s="17">
        <v>0.25694444444444398</v>
      </c>
      <c r="H165" t="s">
        <v>109</v>
      </c>
      <c r="I165" s="2" t="s">
        <v>111</v>
      </c>
      <c r="J165" s="2" t="s">
        <v>112</v>
      </c>
      <c r="K165">
        <v>1</v>
      </c>
      <c r="L165">
        <v>1</v>
      </c>
      <c r="M165">
        <v>1</v>
      </c>
      <c r="N165">
        <v>4</v>
      </c>
      <c r="O165">
        <v>1</v>
      </c>
      <c r="P165">
        <v>1</v>
      </c>
    </row>
    <row r="166" spans="1:16" x14ac:dyDescent="0.3">
      <c r="A166" s="7" t="s">
        <v>253</v>
      </c>
      <c r="B166" t="s">
        <v>255</v>
      </c>
      <c r="C166" t="s">
        <v>249</v>
      </c>
      <c r="D166" s="1">
        <v>45380</v>
      </c>
      <c r="E166" s="17">
        <v>0.25</v>
      </c>
      <c r="F166" s="17">
        <v>0.25694444444444398</v>
      </c>
      <c r="H166" t="s">
        <v>109</v>
      </c>
      <c r="I166" s="2" t="s">
        <v>111</v>
      </c>
      <c r="J166" s="2" t="s">
        <v>112</v>
      </c>
      <c r="K166">
        <v>1</v>
      </c>
      <c r="L166">
        <v>1</v>
      </c>
      <c r="M166">
        <v>1</v>
      </c>
      <c r="N166">
        <v>4</v>
      </c>
      <c r="O166">
        <v>1</v>
      </c>
      <c r="P166">
        <v>1</v>
      </c>
    </row>
    <row r="167" spans="1:16" x14ac:dyDescent="0.3">
      <c r="A167" s="7" t="s">
        <v>275</v>
      </c>
      <c r="B167" t="s">
        <v>274</v>
      </c>
      <c r="C167" t="s">
        <v>249</v>
      </c>
      <c r="D167" s="1">
        <v>45380</v>
      </c>
      <c r="E167" s="17">
        <v>0.25</v>
      </c>
      <c r="F167" s="17">
        <v>0.25694444444444398</v>
      </c>
      <c r="H167" t="s">
        <v>109</v>
      </c>
      <c r="I167" s="2" t="s">
        <v>111</v>
      </c>
      <c r="J167" s="2" t="s">
        <v>112</v>
      </c>
      <c r="K167">
        <v>1</v>
      </c>
      <c r="L167">
        <v>1</v>
      </c>
      <c r="M167">
        <v>1</v>
      </c>
      <c r="N167">
        <v>4</v>
      </c>
      <c r="O167">
        <v>1</v>
      </c>
      <c r="P167">
        <v>1</v>
      </c>
    </row>
    <row r="168" spans="1:16" x14ac:dyDescent="0.3">
      <c r="A168" s="7" t="s">
        <v>262</v>
      </c>
      <c r="B168" t="s">
        <v>263</v>
      </c>
      <c r="C168" t="s">
        <v>249</v>
      </c>
      <c r="D168" s="1">
        <v>45380</v>
      </c>
      <c r="E168" s="17">
        <v>0.25</v>
      </c>
      <c r="F168" s="17">
        <v>0.25694444444444398</v>
      </c>
      <c r="H168" t="s">
        <v>109</v>
      </c>
      <c r="I168" s="2" t="s">
        <v>111</v>
      </c>
      <c r="J168" s="2" t="s">
        <v>112</v>
      </c>
      <c r="K168">
        <v>1</v>
      </c>
      <c r="L168">
        <v>1</v>
      </c>
      <c r="M168">
        <v>1</v>
      </c>
      <c r="N168">
        <v>4</v>
      </c>
      <c r="O168">
        <v>1</v>
      </c>
      <c r="P168">
        <v>1</v>
      </c>
    </row>
    <row r="169" spans="1:16" x14ac:dyDescent="0.3">
      <c r="A169" s="7" t="s">
        <v>250</v>
      </c>
      <c r="B169" t="s">
        <v>257</v>
      </c>
      <c r="C169" s="7" t="s">
        <v>249</v>
      </c>
      <c r="D169" s="1">
        <v>45379</v>
      </c>
      <c r="E169" s="9">
        <v>0.25</v>
      </c>
      <c r="F169" s="9">
        <v>0.25694444444444398</v>
      </c>
      <c r="H169" s="4" t="s">
        <v>114</v>
      </c>
      <c r="I169" s="5" t="s">
        <v>116</v>
      </c>
      <c r="J169" s="5" t="s">
        <v>117</v>
      </c>
      <c r="K169">
        <v>1</v>
      </c>
      <c r="L169">
        <v>1</v>
      </c>
      <c r="M169">
        <v>1</v>
      </c>
      <c r="N169">
        <v>4</v>
      </c>
      <c r="O169">
        <v>1</v>
      </c>
      <c r="P169">
        <v>1</v>
      </c>
    </row>
    <row r="170" spans="1:16" x14ac:dyDescent="0.3">
      <c r="A170" s="7" t="s">
        <v>253</v>
      </c>
      <c r="B170" t="s">
        <v>255</v>
      </c>
      <c r="C170" s="7" t="s">
        <v>249</v>
      </c>
      <c r="D170" s="1">
        <v>45379</v>
      </c>
      <c r="E170" s="9">
        <v>0.25</v>
      </c>
      <c r="F170" s="9">
        <v>0.25694444444444398</v>
      </c>
      <c r="H170" s="4" t="s">
        <v>114</v>
      </c>
      <c r="I170" s="5" t="s">
        <v>116</v>
      </c>
      <c r="J170" s="5" t="s">
        <v>117</v>
      </c>
      <c r="K170">
        <v>1</v>
      </c>
      <c r="L170">
        <v>1</v>
      </c>
      <c r="M170">
        <v>1</v>
      </c>
      <c r="N170">
        <v>4</v>
      </c>
      <c r="O170">
        <v>1</v>
      </c>
      <c r="P170">
        <v>1</v>
      </c>
    </row>
    <row r="171" spans="1:16" x14ac:dyDescent="0.3">
      <c r="A171" s="7" t="s">
        <v>251</v>
      </c>
      <c r="B171" t="s">
        <v>248</v>
      </c>
      <c r="C171" s="7" t="s">
        <v>249</v>
      </c>
      <c r="D171" s="1">
        <v>45379</v>
      </c>
      <c r="E171" s="9">
        <v>0.25</v>
      </c>
      <c r="F171" s="9">
        <v>0.25694444444444398</v>
      </c>
      <c r="H171" s="4" t="s">
        <v>114</v>
      </c>
      <c r="I171" s="5" t="s">
        <v>116</v>
      </c>
      <c r="J171" s="5" t="s">
        <v>117</v>
      </c>
      <c r="K171">
        <v>1</v>
      </c>
      <c r="L171">
        <v>1</v>
      </c>
      <c r="M171">
        <v>1</v>
      </c>
      <c r="N171">
        <v>4</v>
      </c>
      <c r="O171">
        <v>1</v>
      </c>
      <c r="P171">
        <v>1</v>
      </c>
    </row>
    <row r="172" spans="1:16" x14ac:dyDescent="0.3">
      <c r="A172" s="7" t="s">
        <v>270</v>
      </c>
      <c r="B172" t="s">
        <v>269</v>
      </c>
      <c r="C172" s="7" t="s">
        <v>264</v>
      </c>
      <c r="D172" s="1">
        <v>45379</v>
      </c>
      <c r="E172" s="9">
        <v>0.25</v>
      </c>
      <c r="F172" s="9">
        <v>0.25694444444444398</v>
      </c>
      <c r="H172" s="4" t="s">
        <v>114</v>
      </c>
      <c r="I172" s="5" t="s">
        <v>116</v>
      </c>
      <c r="J172" s="5" t="s">
        <v>117</v>
      </c>
      <c r="K172">
        <v>1</v>
      </c>
      <c r="L172">
        <v>1</v>
      </c>
      <c r="M172">
        <v>1</v>
      </c>
      <c r="N172">
        <v>4</v>
      </c>
      <c r="O172">
        <v>1</v>
      </c>
      <c r="P172">
        <v>1</v>
      </c>
    </row>
    <row r="173" spans="1:16" x14ac:dyDescent="0.3">
      <c r="A173" s="7" t="s">
        <v>275</v>
      </c>
      <c r="B173" t="s">
        <v>274</v>
      </c>
      <c r="C173" s="7" t="s">
        <v>249</v>
      </c>
      <c r="D173" s="1">
        <v>45379</v>
      </c>
      <c r="E173" s="9">
        <v>0.25</v>
      </c>
      <c r="F173" s="9">
        <v>0.25694444444444398</v>
      </c>
      <c r="H173" s="4" t="s">
        <v>114</v>
      </c>
      <c r="I173" s="5" t="s">
        <v>116</v>
      </c>
      <c r="J173" s="5" t="s">
        <v>117</v>
      </c>
      <c r="K173">
        <v>1</v>
      </c>
      <c r="L173">
        <v>1</v>
      </c>
      <c r="M173">
        <v>1</v>
      </c>
      <c r="N173">
        <v>4</v>
      </c>
      <c r="O173">
        <v>1</v>
      </c>
      <c r="P173">
        <v>1</v>
      </c>
    </row>
    <row r="174" spans="1:16" x14ac:dyDescent="0.3">
      <c r="A174" s="7" t="s">
        <v>253</v>
      </c>
      <c r="B174" t="s">
        <v>255</v>
      </c>
      <c r="C174" s="19" t="s">
        <v>249</v>
      </c>
      <c r="D174" s="1">
        <v>45380</v>
      </c>
      <c r="E174" s="17">
        <v>0.25</v>
      </c>
      <c r="F174" s="17">
        <v>0.25694444444444398</v>
      </c>
      <c r="H174" s="4" t="s">
        <v>114</v>
      </c>
      <c r="I174" s="5" t="s">
        <v>116</v>
      </c>
      <c r="J174" s="5" t="s">
        <v>117</v>
      </c>
      <c r="K174">
        <v>1</v>
      </c>
      <c r="L174">
        <v>1</v>
      </c>
      <c r="M174">
        <v>1</v>
      </c>
      <c r="N174">
        <v>5</v>
      </c>
      <c r="O174">
        <v>1</v>
      </c>
      <c r="P174">
        <v>1</v>
      </c>
    </row>
    <row r="175" spans="1:16" x14ac:dyDescent="0.3">
      <c r="A175" s="7" t="s">
        <v>251</v>
      </c>
      <c r="B175" t="s">
        <v>248</v>
      </c>
      <c r="C175" t="s">
        <v>249</v>
      </c>
      <c r="D175" s="1">
        <v>45380</v>
      </c>
      <c r="E175" s="17">
        <v>0.25</v>
      </c>
      <c r="F175" s="17">
        <v>0.25694444444444398</v>
      </c>
      <c r="H175" s="4" t="s">
        <v>114</v>
      </c>
      <c r="I175" s="5" t="s">
        <v>116</v>
      </c>
      <c r="J175" s="5" t="s">
        <v>117</v>
      </c>
      <c r="K175">
        <v>1</v>
      </c>
      <c r="L175">
        <v>1</v>
      </c>
      <c r="M175">
        <v>1</v>
      </c>
      <c r="N175">
        <v>5</v>
      </c>
      <c r="O175">
        <v>1</v>
      </c>
      <c r="P175">
        <v>1</v>
      </c>
    </row>
    <row r="176" spans="1:16" x14ac:dyDescent="0.3">
      <c r="A176" s="7" t="s">
        <v>262</v>
      </c>
      <c r="B176" t="s">
        <v>263</v>
      </c>
      <c r="C176" t="s">
        <v>249</v>
      </c>
      <c r="D176" s="1">
        <v>45380</v>
      </c>
      <c r="E176" s="17">
        <v>0.25</v>
      </c>
      <c r="F176" s="17">
        <v>0.25694444444444398</v>
      </c>
      <c r="H176" s="4" t="s">
        <v>114</v>
      </c>
      <c r="I176" s="5" t="s">
        <v>116</v>
      </c>
      <c r="J176" s="5" t="s">
        <v>117</v>
      </c>
      <c r="K176">
        <v>1</v>
      </c>
      <c r="L176">
        <v>1</v>
      </c>
      <c r="M176">
        <v>1</v>
      </c>
      <c r="N176">
        <v>5</v>
      </c>
      <c r="O176">
        <v>1</v>
      </c>
      <c r="P176">
        <v>1</v>
      </c>
    </row>
    <row r="177" spans="1:16" x14ac:dyDescent="0.3">
      <c r="A177" s="7" t="s">
        <v>250</v>
      </c>
      <c r="B177" t="s">
        <v>257</v>
      </c>
      <c r="C177" t="s">
        <v>249</v>
      </c>
      <c r="D177" s="1">
        <v>45380</v>
      </c>
      <c r="E177" s="17">
        <v>0.25</v>
      </c>
      <c r="F177" s="17">
        <v>0.25694444444444398</v>
      </c>
      <c r="H177" s="4" t="s">
        <v>114</v>
      </c>
      <c r="I177" s="5" t="s">
        <v>116</v>
      </c>
      <c r="J177" s="5" t="s">
        <v>117</v>
      </c>
      <c r="K177">
        <v>1</v>
      </c>
      <c r="L177">
        <v>1</v>
      </c>
      <c r="M177">
        <v>1</v>
      </c>
      <c r="N177">
        <v>5</v>
      </c>
      <c r="O177">
        <v>1</v>
      </c>
      <c r="P177">
        <v>1</v>
      </c>
    </row>
    <row r="178" spans="1:16" x14ac:dyDescent="0.3">
      <c r="A178" s="7" t="s">
        <v>260</v>
      </c>
      <c r="B178" t="s">
        <v>258</v>
      </c>
      <c r="C178" t="s">
        <v>249</v>
      </c>
      <c r="D178" s="1">
        <v>45380</v>
      </c>
      <c r="E178" s="17">
        <v>0.25</v>
      </c>
      <c r="F178" s="17">
        <v>0.25694444444444398</v>
      </c>
      <c r="H178" s="4" t="s">
        <v>114</v>
      </c>
      <c r="I178" s="5" t="s">
        <v>116</v>
      </c>
      <c r="J178" s="5" t="s">
        <v>117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1</v>
      </c>
    </row>
    <row r="179" spans="1:16" x14ac:dyDescent="0.3">
      <c r="A179" s="7" t="s">
        <v>250</v>
      </c>
      <c r="B179" t="s">
        <v>257</v>
      </c>
      <c r="C179" s="7" t="s">
        <v>249</v>
      </c>
      <c r="D179" s="1">
        <v>45379</v>
      </c>
      <c r="E179" s="9">
        <v>0.25</v>
      </c>
      <c r="F179" s="9">
        <v>0.25694444444444398</v>
      </c>
      <c r="H179" t="s">
        <v>119</v>
      </c>
      <c r="I179" s="2" t="s">
        <v>121</v>
      </c>
      <c r="J179" s="2" t="s">
        <v>122</v>
      </c>
      <c r="K179">
        <v>2</v>
      </c>
      <c r="L179">
        <v>1</v>
      </c>
      <c r="M179">
        <v>1</v>
      </c>
      <c r="N179">
        <v>5</v>
      </c>
      <c r="O179">
        <v>1</v>
      </c>
      <c r="P179">
        <v>1</v>
      </c>
    </row>
    <row r="180" spans="1:16" x14ac:dyDescent="0.3">
      <c r="A180" s="7" t="s">
        <v>275</v>
      </c>
      <c r="B180" t="s">
        <v>274</v>
      </c>
      <c r="C180" s="7" t="s">
        <v>249</v>
      </c>
      <c r="D180" s="1">
        <v>45379</v>
      </c>
      <c r="E180" s="9">
        <v>0.25</v>
      </c>
      <c r="F180" s="9">
        <v>0.25694444444444398</v>
      </c>
      <c r="H180" t="s">
        <v>119</v>
      </c>
      <c r="I180" s="2" t="s">
        <v>121</v>
      </c>
      <c r="J180" s="2" t="s">
        <v>122</v>
      </c>
      <c r="K180">
        <v>2</v>
      </c>
      <c r="L180">
        <v>1</v>
      </c>
      <c r="M180">
        <v>1</v>
      </c>
      <c r="N180">
        <v>5</v>
      </c>
      <c r="O180">
        <v>1</v>
      </c>
      <c r="P180">
        <v>1</v>
      </c>
    </row>
    <row r="181" spans="1:16" x14ac:dyDescent="0.3">
      <c r="A181" s="7" t="s">
        <v>253</v>
      </c>
      <c r="B181" t="s">
        <v>255</v>
      </c>
      <c r="C181" s="7" t="s">
        <v>249</v>
      </c>
      <c r="D181" s="1">
        <v>45379</v>
      </c>
      <c r="E181" s="9">
        <v>0.25</v>
      </c>
      <c r="F181" s="9">
        <v>0.25694444444444398</v>
      </c>
      <c r="H181" t="s">
        <v>119</v>
      </c>
      <c r="I181" s="2" t="s">
        <v>121</v>
      </c>
      <c r="J181" s="2" t="s">
        <v>122</v>
      </c>
      <c r="K181">
        <v>2</v>
      </c>
      <c r="L181">
        <v>1</v>
      </c>
      <c r="M181">
        <v>1</v>
      </c>
      <c r="N181">
        <v>5</v>
      </c>
      <c r="O181">
        <v>1</v>
      </c>
      <c r="P181">
        <v>1</v>
      </c>
    </row>
    <row r="182" spans="1:16" x14ac:dyDescent="0.3">
      <c r="A182" s="7" t="s">
        <v>251</v>
      </c>
      <c r="B182" t="s">
        <v>248</v>
      </c>
      <c r="C182" s="7" t="s">
        <v>249</v>
      </c>
      <c r="D182" s="1">
        <v>45379</v>
      </c>
      <c r="E182" s="9">
        <v>0.25</v>
      </c>
      <c r="F182" s="9">
        <v>0.25694444444444398</v>
      </c>
      <c r="H182" t="s">
        <v>119</v>
      </c>
      <c r="I182" s="2" t="s">
        <v>121</v>
      </c>
      <c r="J182" s="2" t="s">
        <v>122</v>
      </c>
      <c r="K182">
        <v>2</v>
      </c>
      <c r="L182">
        <v>1</v>
      </c>
      <c r="M182">
        <v>1</v>
      </c>
      <c r="N182">
        <v>5</v>
      </c>
      <c r="O182">
        <v>1</v>
      </c>
      <c r="P182">
        <v>1</v>
      </c>
    </row>
    <row r="183" spans="1:16" x14ac:dyDescent="0.3">
      <c r="A183" s="7" t="s">
        <v>270</v>
      </c>
      <c r="B183" t="s">
        <v>269</v>
      </c>
      <c r="C183" s="7" t="s">
        <v>264</v>
      </c>
      <c r="D183" s="1">
        <v>45379</v>
      </c>
      <c r="E183" s="9">
        <v>0.25</v>
      </c>
      <c r="F183" s="9">
        <v>0.25694444444444398</v>
      </c>
      <c r="H183" t="s">
        <v>119</v>
      </c>
      <c r="I183" s="2" t="s">
        <v>121</v>
      </c>
      <c r="J183" s="2" t="s">
        <v>122</v>
      </c>
      <c r="K183">
        <v>2</v>
      </c>
      <c r="L183">
        <v>1</v>
      </c>
      <c r="M183">
        <v>1</v>
      </c>
      <c r="N183">
        <v>5</v>
      </c>
      <c r="O183">
        <v>1</v>
      </c>
      <c r="P183">
        <v>1</v>
      </c>
    </row>
    <row r="184" spans="1:16" x14ac:dyDescent="0.3">
      <c r="A184" s="7" t="s">
        <v>250</v>
      </c>
      <c r="B184" t="s">
        <v>257</v>
      </c>
      <c r="C184" t="s">
        <v>249</v>
      </c>
      <c r="D184" s="1">
        <v>45380</v>
      </c>
      <c r="E184" s="17">
        <v>0.25</v>
      </c>
      <c r="F184" s="17">
        <v>0.25694444444444398</v>
      </c>
      <c r="H184" t="s">
        <v>119</v>
      </c>
      <c r="I184" s="2" t="s">
        <v>121</v>
      </c>
      <c r="J184" s="2" t="s">
        <v>122</v>
      </c>
      <c r="K184">
        <v>1</v>
      </c>
      <c r="L184">
        <v>1</v>
      </c>
      <c r="M184">
        <v>1</v>
      </c>
      <c r="N184">
        <v>5</v>
      </c>
      <c r="O184">
        <v>1</v>
      </c>
      <c r="P184">
        <v>1</v>
      </c>
    </row>
    <row r="185" spans="1:16" x14ac:dyDescent="0.3">
      <c r="A185" s="7" t="s">
        <v>275</v>
      </c>
      <c r="B185" t="s">
        <v>274</v>
      </c>
      <c r="C185" t="s">
        <v>249</v>
      </c>
      <c r="D185" s="1">
        <v>45380</v>
      </c>
      <c r="E185" s="17">
        <v>0.25</v>
      </c>
      <c r="F185" s="17">
        <v>0.25694444444444398</v>
      </c>
      <c r="H185" t="s">
        <v>119</v>
      </c>
      <c r="I185" s="2" t="s">
        <v>121</v>
      </c>
      <c r="J185" s="2" t="s">
        <v>122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</row>
    <row r="186" spans="1:16" x14ac:dyDescent="0.3">
      <c r="A186" s="7" t="s">
        <v>253</v>
      </c>
      <c r="B186" t="s">
        <v>255</v>
      </c>
      <c r="C186" t="s">
        <v>249</v>
      </c>
      <c r="D186" s="1">
        <v>45380</v>
      </c>
      <c r="E186" s="17">
        <v>0.25</v>
      </c>
      <c r="F186" s="17">
        <v>0.25694444444444398</v>
      </c>
      <c r="H186" t="s">
        <v>119</v>
      </c>
      <c r="I186" s="2" t="s">
        <v>121</v>
      </c>
      <c r="J186" s="2" t="s">
        <v>122</v>
      </c>
      <c r="K186">
        <v>1</v>
      </c>
      <c r="L186">
        <v>1</v>
      </c>
      <c r="M186">
        <v>1</v>
      </c>
      <c r="N186">
        <v>5</v>
      </c>
      <c r="O186">
        <v>1</v>
      </c>
      <c r="P186">
        <v>1</v>
      </c>
    </row>
    <row r="187" spans="1:16" x14ac:dyDescent="0.3">
      <c r="A187" s="7" t="s">
        <v>251</v>
      </c>
      <c r="B187" t="s">
        <v>248</v>
      </c>
      <c r="C187" t="s">
        <v>249</v>
      </c>
      <c r="D187" s="1">
        <v>45380</v>
      </c>
      <c r="E187" s="17">
        <v>0.25</v>
      </c>
      <c r="F187" s="17">
        <v>0.25694444444444398</v>
      </c>
      <c r="H187" t="s">
        <v>119</v>
      </c>
      <c r="I187" s="2" t="s">
        <v>121</v>
      </c>
      <c r="J187" s="2" t="s">
        <v>122</v>
      </c>
      <c r="K187">
        <v>1</v>
      </c>
      <c r="L187">
        <v>1</v>
      </c>
      <c r="M187">
        <v>1</v>
      </c>
      <c r="N187">
        <v>5</v>
      </c>
      <c r="O187">
        <v>1</v>
      </c>
      <c r="P187">
        <v>1</v>
      </c>
    </row>
    <row r="188" spans="1:16" x14ac:dyDescent="0.3">
      <c r="A188" s="7" t="s">
        <v>252</v>
      </c>
      <c r="B188" t="s">
        <v>256</v>
      </c>
      <c r="C188" t="s">
        <v>249</v>
      </c>
      <c r="D188" s="1">
        <v>45380</v>
      </c>
      <c r="E188" s="17">
        <v>0.25</v>
      </c>
      <c r="F188" s="17">
        <v>0.25694444444444398</v>
      </c>
      <c r="H188" t="s">
        <v>119</v>
      </c>
      <c r="I188" s="2" t="s">
        <v>121</v>
      </c>
      <c r="J188" s="2" t="s">
        <v>122</v>
      </c>
      <c r="K188">
        <v>1</v>
      </c>
      <c r="L188">
        <v>1</v>
      </c>
      <c r="M188">
        <v>1</v>
      </c>
      <c r="N188">
        <v>5</v>
      </c>
      <c r="O188">
        <v>1</v>
      </c>
      <c r="P188">
        <v>1</v>
      </c>
    </row>
    <row r="189" spans="1:16" x14ac:dyDescent="0.3">
      <c r="A189" s="7" t="s">
        <v>270</v>
      </c>
      <c r="B189" t="s">
        <v>269</v>
      </c>
      <c r="C189" t="s">
        <v>264</v>
      </c>
      <c r="D189" s="1">
        <v>45380</v>
      </c>
      <c r="E189" s="17">
        <v>0.25</v>
      </c>
      <c r="F189" s="17">
        <v>0.25694444444444398</v>
      </c>
      <c r="H189" t="s">
        <v>119</v>
      </c>
      <c r="I189" s="2" t="s">
        <v>121</v>
      </c>
      <c r="J189" s="2" t="s">
        <v>122</v>
      </c>
      <c r="K189">
        <v>1</v>
      </c>
      <c r="L189">
        <v>1</v>
      </c>
      <c r="M189">
        <v>1</v>
      </c>
      <c r="N189">
        <v>5</v>
      </c>
      <c r="O189">
        <v>1</v>
      </c>
      <c r="P189">
        <v>1</v>
      </c>
    </row>
    <row r="190" spans="1:16" x14ac:dyDescent="0.3">
      <c r="A190" s="7" t="s">
        <v>251</v>
      </c>
      <c r="B190" t="s">
        <v>248</v>
      </c>
      <c r="C190" s="7" t="s">
        <v>249</v>
      </c>
      <c r="D190" s="1">
        <v>45379</v>
      </c>
      <c r="E190" s="17">
        <v>0.25277777777777777</v>
      </c>
      <c r="F190" s="17">
        <v>0.25972222222222224</v>
      </c>
      <c r="H190" s="4" t="s">
        <v>124</v>
      </c>
      <c r="I190" s="5" t="s">
        <v>125</v>
      </c>
      <c r="J190" s="5" t="s">
        <v>126</v>
      </c>
      <c r="K190">
        <v>2</v>
      </c>
      <c r="L190">
        <v>1</v>
      </c>
      <c r="M190">
        <v>1</v>
      </c>
      <c r="N190">
        <v>4</v>
      </c>
      <c r="O190">
        <v>1</v>
      </c>
      <c r="P190">
        <v>1</v>
      </c>
    </row>
    <row r="191" spans="1:16" x14ac:dyDescent="0.3">
      <c r="A191" s="7" t="s">
        <v>253</v>
      </c>
      <c r="B191" t="s">
        <v>255</v>
      </c>
      <c r="C191" s="7" t="s">
        <v>249</v>
      </c>
      <c r="D191" s="1">
        <v>45379</v>
      </c>
      <c r="E191" s="17">
        <v>0.25277777777777777</v>
      </c>
      <c r="F191" s="17">
        <v>0.25972222222222224</v>
      </c>
      <c r="H191" s="4" t="s">
        <v>124</v>
      </c>
      <c r="I191" s="5" t="s">
        <v>125</v>
      </c>
      <c r="J191" s="5" t="s">
        <v>126</v>
      </c>
      <c r="K191">
        <v>2</v>
      </c>
      <c r="L191">
        <v>1</v>
      </c>
      <c r="M191">
        <v>1</v>
      </c>
      <c r="N191">
        <v>4</v>
      </c>
      <c r="O191">
        <v>1</v>
      </c>
      <c r="P191">
        <v>1</v>
      </c>
    </row>
    <row r="192" spans="1:16" x14ac:dyDescent="0.3">
      <c r="A192" s="7" t="s">
        <v>275</v>
      </c>
      <c r="B192" t="s">
        <v>274</v>
      </c>
      <c r="C192" s="7" t="s">
        <v>249</v>
      </c>
      <c r="D192" s="1">
        <v>45379</v>
      </c>
      <c r="E192" s="17">
        <v>0.25277777777777777</v>
      </c>
      <c r="F192" s="17">
        <v>0.25972222222222224</v>
      </c>
      <c r="H192" s="4" t="s">
        <v>124</v>
      </c>
      <c r="I192" s="5" t="s">
        <v>125</v>
      </c>
      <c r="J192" s="5" t="s">
        <v>126</v>
      </c>
      <c r="K192">
        <v>2</v>
      </c>
      <c r="L192">
        <v>1</v>
      </c>
      <c r="M192">
        <v>1</v>
      </c>
      <c r="N192">
        <v>4</v>
      </c>
      <c r="O192">
        <v>1</v>
      </c>
      <c r="P192">
        <v>1</v>
      </c>
    </row>
    <row r="193" spans="1:16" x14ac:dyDescent="0.3">
      <c r="A193" s="7" t="s">
        <v>262</v>
      </c>
      <c r="B193" t="s">
        <v>263</v>
      </c>
      <c r="C193" s="7" t="s">
        <v>249</v>
      </c>
      <c r="D193" s="1">
        <v>45379</v>
      </c>
      <c r="E193" s="17">
        <v>0.25277777777777777</v>
      </c>
      <c r="F193" s="17">
        <v>0.25972222222222224</v>
      </c>
      <c r="H193" s="4" t="s">
        <v>124</v>
      </c>
      <c r="I193" s="5" t="s">
        <v>125</v>
      </c>
      <c r="J193" s="5" t="s">
        <v>126</v>
      </c>
      <c r="K193">
        <v>2</v>
      </c>
      <c r="L193">
        <v>1</v>
      </c>
      <c r="M193">
        <v>1</v>
      </c>
      <c r="N193">
        <v>4</v>
      </c>
      <c r="O193">
        <v>1</v>
      </c>
      <c r="P193">
        <v>1</v>
      </c>
    </row>
    <row r="194" spans="1:16" x14ac:dyDescent="0.3">
      <c r="A194" s="7" t="s">
        <v>252</v>
      </c>
      <c r="B194" t="s">
        <v>256</v>
      </c>
      <c r="C194" s="7" t="s">
        <v>249</v>
      </c>
      <c r="D194" s="1">
        <v>45379</v>
      </c>
      <c r="E194" s="17">
        <v>0.25277777777777777</v>
      </c>
      <c r="F194" s="17">
        <v>0.25972222222222224</v>
      </c>
      <c r="H194" s="4" t="s">
        <v>124</v>
      </c>
      <c r="I194" s="5" t="s">
        <v>125</v>
      </c>
      <c r="J194" s="5" t="s">
        <v>126</v>
      </c>
      <c r="K194">
        <v>2</v>
      </c>
      <c r="L194">
        <v>1</v>
      </c>
      <c r="M194">
        <v>1</v>
      </c>
      <c r="N194">
        <v>3</v>
      </c>
      <c r="O194">
        <v>1</v>
      </c>
      <c r="P194">
        <v>1</v>
      </c>
    </row>
    <row r="195" spans="1:16" x14ac:dyDescent="0.3">
      <c r="A195" s="7" t="s">
        <v>250</v>
      </c>
      <c r="B195" t="s">
        <v>257</v>
      </c>
      <c r="C195" s="7" t="s">
        <v>249</v>
      </c>
      <c r="D195" s="1">
        <v>45379</v>
      </c>
      <c r="E195" s="17">
        <v>0.25277777777777777</v>
      </c>
      <c r="F195" s="17">
        <v>0.25972222222222224</v>
      </c>
      <c r="H195" s="4" t="s">
        <v>124</v>
      </c>
      <c r="I195" s="5" t="s">
        <v>125</v>
      </c>
      <c r="J195" s="5" t="s">
        <v>126</v>
      </c>
      <c r="K195">
        <v>2</v>
      </c>
      <c r="L195">
        <v>1</v>
      </c>
      <c r="M195">
        <v>1</v>
      </c>
      <c r="N195">
        <v>3</v>
      </c>
      <c r="O195">
        <v>1</v>
      </c>
      <c r="P195">
        <v>1</v>
      </c>
    </row>
    <row r="196" spans="1:16" x14ac:dyDescent="0.3">
      <c r="A196" s="7" t="s">
        <v>275</v>
      </c>
      <c r="B196" t="s">
        <v>274</v>
      </c>
      <c r="C196" t="s">
        <v>249</v>
      </c>
      <c r="D196" s="1">
        <v>45380</v>
      </c>
      <c r="E196" s="17">
        <v>0.25208333333333333</v>
      </c>
      <c r="F196" s="17">
        <v>0.2590277777777778</v>
      </c>
      <c r="H196" s="4" t="s">
        <v>124</v>
      </c>
      <c r="I196" s="5" t="s">
        <v>125</v>
      </c>
      <c r="J196" s="5" t="s">
        <v>126</v>
      </c>
      <c r="K196">
        <v>1</v>
      </c>
      <c r="L196">
        <v>1</v>
      </c>
      <c r="M196">
        <v>1</v>
      </c>
      <c r="N196">
        <v>5</v>
      </c>
      <c r="O196">
        <v>1</v>
      </c>
      <c r="P196">
        <v>1</v>
      </c>
    </row>
    <row r="197" spans="1:16" x14ac:dyDescent="0.3">
      <c r="A197" s="7" t="s">
        <v>299</v>
      </c>
      <c r="B197" t="s">
        <v>300</v>
      </c>
      <c r="C197" t="s">
        <v>264</v>
      </c>
      <c r="D197" s="1">
        <v>45380</v>
      </c>
      <c r="E197" s="17">
        <v>0.25208333333333333</v>
      </c>
      <c r="F197" s="17">
        <v>0.2590277777777778</v>
      </c>
      <c r="H197" s="4" t="s">
        <v>124</v>
      </c>
      <c r="I197" s="5" t="s">
        <v>125</v>
      </c>
      <c r="J197" s="5" t="s">
        <v>126</v>
      </c>
      <c r="K197">
        <v>1</v>
      </c>
      <c r="L197">
        <v>1</v>
      </c>
      <c r="M197">
        <v>1</v>
      </c>
      <c r="N197">
        <v>5</v>
      </c>
      <c r="O197">
        <v>1</v>
      </c>
      <c r="P197">
        <v>1</v>
      </c>
    </row>
    <row r="198" spans="1:16" x14ac:dyDescent="0.3">
      <c r="A198" s="7" t="s">
        <v>262</v>
      </c>
      <c r="B198" t="s">
        <v>263</v>
      </c>
      <c r="C198" t="s">
        <v>249</v>
      </c>
      <c r="D198" s="1">
        <v>45380</v>
      </c>
      <c r="E198" s="17">
        <v>0.25208333333333299</v>
      </c>
      <c r="F198" s="17">
        <v>0.25902777777777802</v>
      </c>
      <c r="H198" s="4" t="s">
        <v>124</v>
      </c>
      <c r="I198" s="5" t="s">
        <v>125</v>
      </c>
      <c r="J198" s="5" t="s">
        <v>126</v>
      </c>
      <c r="K198">
        <v>1</v>
      </c>
      <c r="L198">
        <v>1</v>
      </c>
      <c r="M198">
        <v>1</v>
      </c>
      <c r="N198">
        <v>5</v>
      </c>
      <c r="O198">
        <v>1</v>
      </c>
      <c r="P198">
        <v>1</v>
      </c>
    </row>
    <row r="199" spans="1:16" x14ac:dyDescent="0.3">
      <c r="A199" s="7" t="s">
        <v>250</v>
      </c>
      <c r="B199" t="s">
        <v>257</v>
      </c>
      <c r="C199" t="s">
        <v>249</v>
      </c>
      <c r="D199" s="1">
        <v>45380</v>
      </c>
      <c r="E199" s="17">
        <v>0.25208333333333299</v>
      </c>
      <c r="F199" s="17">
        <v>0.25902777777777802</v>
      </c>
      <c r="H199" s="4" t="s">
        <v>124</v>
      </c>
      <c r="I199" s="5" t="s">
        <v>125</v>
      </c>
      <c r="J199" s="5" t="s">
        <v>126</v>
      </c>
      <c r="K199">
        <v>1</v>
      </c>
      <c r="L199">
        <v>1</v>
      </c>
      <c r="M199">
        <v>1</v>
      </c>
      <c r="N199">
        <v>5</v>
      </c>
      <c r="O199">
        <v>1</v>
      </c>
      <c r="P199">
        <v>1</v>
      </c>
    </row>
    <row r="200" spans="1:16" x14ac:dyDescent="0.3">
      <c r="A200" s="7" t="s">
        <v>253</v>
      </c>
      <c r="B200" t="s">
        <v>255</v>
      </c>
      <c r="C200" t="s">
        <v>249</v>
      </c>
      <c r="D200" s="1">
        <v>45380</v>
      </c>
      <c r="E200" s="17">
        <v>0.25208333333333299</v>
      </c>
      <c r="F200" s="17">
        <v>0.25902777777777802</v>
      </c>
      <c r="H200" s="4" t="s">
        <v>124</v>
      </c>
      <c r="I200" s="5" t="s">
        <v>125</v>
      </c>
      <c r="J200" s="5" t="s">
        <v>126</v>
      </c>
      <c r="K200">
        <v>1</v>
      </c>
      <c r="L200">
        <v>1</v>
      </c>
      <c r="M200">
        <v>1</v>
      </c>
      <c r="N200">
        <v>5</v>
      </c>
      <c r="O200">
        <v>1</v>
      </c>
      <c r="P200">
        <v>1</v>
      </c>
    </row>
    <row r="201" spans="1:16" x14ac:dyDescent="0.3">
      <c r="A201" s="7" t="s">
        <v>254</v>
      </c>
      <c r="B201" t="s">
        <v>259</v>
      </c>
      <c r="C201" t="s">
        <v>249</v>
      </c>
      <c r="D201" s="1">
        <v>45380</v>
      </c>
      <c r="E201" s="17">
        <v>0.25208333333333299</v>
      </c>
      <c r="F201" s="17">
        <v>0.25902777777777802</v>
      </c>
      <c r="H201" s="4" t="s">
        <v>124</v>
      </c>
      <c r="I201" s="5" t="s">
        <v>125</v>
      </c>
      <c r="J201" s="5" t="s">
        <v>126</v>
      </c>
      <c r="K201">
        <v>1</v>
      </c>
      <c r="L201">
        <v>1</v>
      </c>
      <c r="M201">
        <v>1</v>
      </c>
      <c r="N201">
        <v>5</v>
      </c>
      <c r="O201">
        <v>1</v>
      </c>
      <c r="P201">
        <v>1</v>
      </c>
    </row>
    <row r="202" spans="1:16" x14ac:dyDescent="0.3">
      <c r="A202" s="7" t="s">
        <v>251</v>
      </c>
      <c r="B202" t="s">
        <v>248</v>
      </c>
      <c r="C202" t="s">
        <v>249</v>
      </c>
      <c r="D202" s="1">
        <v>45380</v>
      </c>
      <c r="E202" s="17">
        <v>0.25208333333333299</v>
      </c>
      <c r="F202" s="17">
        <v>0.25902777777777802</v>
      </c>
      <c r="H202" s="4" t="s">
        <v>124</v>
      </c>
      <c r="I202" s="5" t="s">
        <v>125</v>
      </c>
      <c r="J202" s="5" t="s">
        <v>126</v>
      </c>
      <c r="K202">
        <v>1</v>
      </c>
      <c r="L202">
        <v>1</v>
      </c>
      <c r="M202">
        <v>1</v>
      </c>
      <c r="N202">
        <v>5</v>
      </c>
      <c r="O202">
        <v>1</v>
      </c>
      <c r="P202">
        <v>1</v>
      </c>
    </row>
    <row r="203" spans="1:16" x14ac:dyDescent="0.3">
      <c r="A203" s="7" t="s">
        <v>252</v>
      </c>
      <c r="B203" t="s">
        <v>256</v>
      </c>
      <c r="C203" t="s">
        <v>249</v>
      </c>
      <c r="D203" s="1">
        <v>45380</v>
      </c>
      <c r="E203" s="17">
        <v>0.25208333333333299</v>
      </c>
      <c r="F203" s="17">
        <v>0.25902777777777802</v>
      </c>
      <c r="H203" s="4" t="s">
        <v>124</v>
      </c>
      <c r="I203" s="5" t="s">
        <v>125</v>
      </c>
      <c r="J203" s="5" t="s">
        <v>126</v>
      </c>
      <c r="K203">
        <v>1</v>
      </c>
      <c r="L203">
        <v>1</v>
      </c>
      <c r="M203">
        <v>1</v>
      </c>
      <c r="N203">
        <v>5</v>
      </c>
      <c r="O203">
        <v>1</v>
      </c>
      <c r="P203">
        <v>1</v>
      </c>
    </row>
    <row r="204" spans="1:16" x14ac:dyDescent="0.3">
      <c r="A204" s="7" t="s">
        <v>260</v>
      </c>
      <c r="B204" t="s">
        <v>258</v>
      </c>
      <c r="C204" t="s">
        <v>249</v>
      </c>
      <c r="D204" s="1">
        <v>45380</v>
      </c>
      <c r="E204" s="17">
        <v>0.25208333333333299</v>
      </c>
      <c r="F204" s="17">
        <v>0.25902777777777802</v>
      </c>
      <c r="H204" s="4" t="s">
        <v>124</v>
      </c>
      <c r="I204" s="5" t="s">
        <v>125</v>
      </c>
      <c r="J204" s="5" t="s">
        <v>126</v>
      </c>
      <c r="K204">
        <v>1</v>
      </c>
      <c r="L204">
        <v>1</v>
      </c>
      <c r="M204">
        <v>1</v>
      </c>
      <c r="N204">
        <v>5</v>
      </c>
      <c r="O204">
        <v>1</v>
      </c>
      <c r="P204">
        <v>1</v>
      </c>
    </row>
    <row r="205" spans="1:16" x14ac:dyDescent="0.3">
      <c r="A205" s="7" t="s">
        <v>270</v>
      </c>
      <c r="B205" t="s">
        <v>269</v>
      </c>
      <c r="C205" t="s">
        <v>264</v>
      </c>
      <c r="D205" s="1">
        <v>45380</v>
      </c>
      <c r="E205" s="17">
        <v>0.25208333333333299</v>
      </c>
      <c r="F205" s="17">
        <v>0.25902777777777802</v>
      </c>
      <c r="H205" s="4" t="s">
        <v>124</v>
      </c>
      <c r="I205" s="5" t="s">
        <v>125</v>
      </c>
      <c r="J205" s="5" t="s">
        <v>126</v>
      </c>
      <c r="K205">
        <v>1</v>
      </c>
      <c r="L205">
        <v>1</v>
      </c>
      <c r="M205">
        <v>1</v>
      </c>
      <c r="N205">
        <v>5</v>
      </c>
      <c r="O205">
        <v>1</v>
      </c>
      <c r="P205">
        <v>1</v>
      </c>
    </row>
    <row r="206" spans="1:16" x14ac:dyDescent="0.3">
      <c r="A206" s="7" t="s">
        <v>250</v>
      </c>
      <c r="B206" t="s">
        <v>257</v>
      </c>
      <c r="C206" s="7" t="s">
        <v>249</v>
      </c>
      <c r="D206" s="1">
        <v>45415</v>
      </c>
      <c r="E206" s="17">
        <v>0.25</v>
      </c>
      <c r="F206" s="17">
        <v>0.25694444444444442</v>
      </c>
      <c r="H206" t="s">
        <v>128</v>
      </c>
      <c r="I206" s="2" t="s">
        <v>129</v>
      </c>
      <c r="J206" s="2" t="s">
        <v>130</v>
      </c>
      <c r="K206">
        <v>2</v>
      </c>
      <c r="L206">
        <v>1</v>
      </c>
      <c r="M206">
        <v>1</v>
      </c>
      <c r="N206">
        <v>4</v>
      </c>
      <c r="O206">
        <v>2</v>
      </c>
      <c r="P206">
        <v>1</v>
      </c>
    </row>
    <row r="207" spans="1:16" x14ac:dyDescent="0.3">
      <c r="A207" s="7" t="s">
        <v>275</v>
      </c>
      <c r="B207" t="s">
        <v>274</v>
      </c>
      <c r="C207" s="7" t="s">
        <v>249</v>
      </c>
      <c r="D207" s="1">
        <v>45415</v>
      </c>
      <c r="E207" s="17">
        <v>0.25</v>
      </c>
      <c r="F207" s="17">
        <v>0.25694444444444442</v>
      </c>
      <c r="H207" t="s">
        <v>128</v>
      </c>
      <c r="I207" s="2" t="s">
        <v>129</v>
      </c>
      <c r="J207" s="2" t="s">
        <v>130</v>
      </c>
      <c r="K207">
        <v>2</v>
      </c>
      <c r="L207">
        <v>1</v>
      </c>
      <c r="M207">
        <v>1</v>
      </c>
      <c r="N207">
        <v>4</v>
      </c>
      <c r="O207">
        <v>2</v>
      </c>
      <c r="P207">
        <v>1</v>
      </c>
    </row>
    <row r="208" spans="1:16" x14ac:dyDescent="0.3">
      <c r="A208" s="7" t="s">
        <v>253</v>
      </c>
      <c r="B208" t="s">
        <v>255</v>
      </c>
      <c r="C208" s="7" t="s">
        <v>249</v>
      </c>
      <c r="D208" s="1">
        <v>45415</v>
      </c>
      <c r="E208" s="17">
        <v>0.25</v>
      </c>
      <c r="F208" s="17">
        <v>0.25694444444444442</v>
      </c>
      <c r="H208" t="s">
        <v>128</v>
      </c>
      <c r="I208" s="2" t="s">
        <v>129</v>
      </c>
      <c r="J208" s="2" t="s">
        <v>130</v>
      </c>
      <c r="K208">
        <v>2</v>
      </c>
      <c r="L208">
        <v>1</v>
      </c>
      <c r="M208">
        <v>1</v>
      </c>
      <c r="N208">
        <v>4</v>
      </c>
      <c r="O208">
        <v>2</v>
      </c>
      <c r="P208">
        <v>1</v>
      </c>
    </row>
    <row r="209" spans="1:16" x14ac:dyDescent="0.3">
      <c r="A209" s="7" t="s">
        <v>270</v>
      </c>
      <c r="B209" t="s">
        <v>269</v>
      </c>
      <c r="C209" s="7" t="s">
        <v>264</v>
      </c>
      <c r="D209" s="1">
        <v>45415</v>
      </c>
      <c r="E209" s="17">
        <v>0.25</v>
      </c>
      <c r="F209" s="17">
        <v>0.25694444444444442</v>
      </c>
      <c r="H209" t="s">
        <v>128</v>
      </c>
      <c r="I209" s="2" t="s">
        <v>129</v>
      </c>
      <c r="J209" s="2" t="s">
        <v>130</v>
      </c>
      <c r="K209">
        <v>2</v>
      </c>
      <c r="L209">
        <v>1</v>
      </c>
      <c r="M209">
        <v>1</v>
      </c>
      <c r="N209">
        <v>4</v>
      </c>
      <c r="O209">
        <v>2</v>
      </c>
      <c r="P209">
        <v>1</v>
      </c>
    </row>
    <row r="210" spans="1:16" x14ac:dyDescent="0.3">
      <c r="A210" s="7" t="s">
        <v>251</v>
      </c>
      <c r="B210" t="s">
        <v>248</v>
      </c>
      <c r="C210" s="7" t="s">
        <v>249</v>
      </c>
      <c r="D210" s="1">
        <v>45415</v>
      </c>
      <c r="E210" s="17">
        <v>0.25</v>
      </c>
      <c r="F210" s="17">
        <v>0.25694444444444442</v>
      </c>
      <c r="H210" t="s">
        <v>128</v>
      </c>
      <c r="I210" s="2" t="s">
        <v>129</v>
      </c>
      <c r="J210" s="2" t="s">
        <v>130</v>
      </c>
      <c r="K210">
        <v>2</v>
      </c>
      <c r="L210">
        <v>1</v>
      </c>
      <c r="M210">
        <v>1</v>
      </c>
      <c r="N210">
        <v>4</v>
      </c>
      <c r="O210">
        <v>2</v>
      </c>
      <c r="P210">
        <v>1</v>
      </c>
    </row>
    <row r="211" spans="1:16" x14ac:dyDescent="0.3">
      <c r="A211" s="7" t="s">
        <v>250</v>
      </c>
      <c r="B211" t="s">
        <v>257</v>
      </c>
      <c r="C211" t="s">
        <v>249</v>
      </c>
      <c r="D211" s="1">
        <v>45416</v>
      </c>
      <c r="E211" s="17">
        <v>0.25</v>
      </c>
      <c r="F211" s="17">
        <v>0.25694444444444442</v>
      </c>
      <c r="H211" t="s">
        <v>128</v>
      </c>
      <c r="I211" s="2" t="s">
        <v>129</v>
      </c>
      <c r="J211" s="2" t="s">
        <v>130</v>
      </c>
      <c r="K211">
        <v>1</v>
      </c>
      <c r="L211">
        <v>1</v>
      </c>
      <c r="M211">
        <v>1</v>
      </c>
      <c r="N211">
        <v>4</v>
      </c>
      <c r="O211">
        <v>1</v>
      </c>
      <c r="P211">
        <v>1</v>
      </c>
    </row>
    <row r="212" spans="1:16" x14ac:dyDescent="0.3">
      <c r="A212" s="7" t="s">
        <v>253</v>
      </c>
      <c r="B212" t="s">
        <v>255</v>
      </c>
      <c r="C212" t="s">
        <v>249</v>
      </c>
      <c r="D212" s="1">
        <v>45416</v>
      </c>
      <c r="E212" s="17">
        <v>0.25</v>
      </c>
      <c r="F212" s="17">
        <v>0.25694444444444442</v>
      </c>
      <c r="H212" t="s">
        <v>128</v>
      </c>
      <c r="I212" s="2" t="s">
        <v>129</v>
      </c>
      <c r="J212" s="2" t="s">
        <v>130</v>
      </c>
      <c r="K212">
        <v>1</v>
      </c>
      <c r="L212">
        <v>1</v>
      </c>
      <c r="M212">
        <v>1</v>
      </c>
      <c r="N212">
        <v>4</v>
      </c>
      <c r="O212">
        <v>1</v>
      </c>
      <c r="P212">
        <v>1</v>
      </c>
    </row>
    <row r="213" spans="1:16" x14ac:dyDescent="0.3">
      <c r="A213" s="7" t="s">
        <v>251</v>
      </c>
      <c r="B213" t="s">
        <v>248</v>
      </c>
      <c r="C213" t="s">
        <v>249</v>
      </c>
      <c r="D213" s="1">
        <v>45416</v>
      </c>
      <c r="E213" s="17">
        <v>0.25</v>
      </c>
      <c r="F213" s="17">
        <v>0.25694444444444442</v>
      </c>
      <c r="H213" t="s">
        <v>128</v>
      </c>
      <c r="I213" s="2" t="s">
        <v>129</v>
      </c>
      <c r="J213" s="2" t="s">
        <v>130</v>
      </c>
      <c r="K213">
        <v>1</v>
      </c>
      <c r="L213">
        <v>1</v>
      </c>
      <c r="M213">
        <v>1</v>
      </c>
      <c r="N213">
        <v>4</v>
      </c>
      <c r="O213">
        <v>1</v>
      </c>
      <c r="P213">
        <v>1</v>
      </c>
    </row>
    <row r="214" spans="1:16" x14ac:dyDescent="0.3">
      <c r="A214" s="7" t="s">
        <v>275</v>
      </c>
      <c r="B214" t="s">
        <v>274</v>
      </c>
      <c r="C214" t="s">
        <v>249</v>
      </c>
      <c r="D214" s="1">
        <v>45416</v>
      </c>
      <c r="E214" s="17">
        <v>0.25</v>
      </c>
      <c r="F214" s="17">
        <v>0.25694444444444442</v>
      </c>
      <c r="H214" t="s">
        <v>128</v>
      </c>
      <c r="I214" s="2" t="s">
        <v>129</v>
      </c>
      <c r="J214" s="2" t="s">
        <v>130</v>
      </c>
      <c r="K214">
        <v>1</v>
      </c>
      <c r="L214">
        <v>1</v>
      </c>
      <c r="M214">
        <v>1</v>
      </c>
      <c r="N214">
        <v>4</v>
      </c>
      <c r="O214">
        <v>1</v>
      </c>
      <c r="P214">
        <v>1</v>
      </c>
    </row>
    <row r="215" spans="1:16" x14ac:dyDescent="0.3">
      <c r="A215" s="7" t="s">
        <v>273</v>
      </c>
      <c r="B215" t="s">
        <v>272</v>
      </c>
      <c r="C215" t="s">
        <v>264</v>
      </c>
      <c r="D215" s="1">
        <v>45416</v>
      </c>
      <c r="E215" s="17">
        <v>0.25</v>
      </c>
      <c r="F215" s="17">
        <v>0.25694444444444442</v>
      </c>
      <c r="H215" t="s">
        <v>128</v>
      </c>
      <c r="I215" s="2" t="s">
        <v>129</v>
      </c>
      <c r="J215" s="2" t="s">
        <v>130</v>
      </c>
      <c r="K215">
        <v>1</v>
      </c>
      <c r="L215">
        <v>1</v>
      </c>
      <c r="M215">
        <v>1</v>
      </c>
      <c r="N215">
        <v>4</v>
      </c>
      <c r="O215">
        <v>1</v>
      </c>
      <c r="P215">
        <v>1</v>
      </c>
    </row>
    <row r="216" spans="1:16" x14ac:dyDescent="0.3">
      <c r="A216" s="7" t="s">
        <v>275</v>
      </c>
      <c r="B216" t="s">
        <v>274</v>
      </c>
      <c r="C216" s="7" t="s">
        <v>249</v>
      </c>
      <c r="D216" s="1">
        <v>45379</v>
      </c>
      <c r="E216" s="9">
        <v>0.25</v>
      </c>
      <c r="F216" s="9">
        <v>0.25694444444444398</v>
      </c>
      <c r="H216" s="4" t="s">
        <v>132</v>
      </c>
      <c r="I216" s="5" t="s">
        <v>134</v>
      </c>
      <c r="J216" s="5" t="s">
        <v>135</v>
      </c>
      <c r="K216">
        <v>2</v>
      </c>
      <c r="L216">
        <v>1</v>
      </c>
      <c r="M216">
        <v>1</v>
      </c>
      <c r="N216">
        <v>5</v>
      </c>
      <c r="O216">
        <v>1</v>
      </c>
      <c r="P216">
        <v>1</v>
      </c>
    </row>
    <row r="217" spans="1:16" x14ac:dyDescent="0.3">
      <c r="A217" s="7" t="s">
        <v>250</v>
      </c>
      <c r="B217" t="s">
        <v>257</v>
      </c>
      <c r="C217" s="7" t="s">
        <v>249</v>
      </c>
      <c r="D217" s="1">
        <v>45379</v>
      </c>
      <c r="E217" s="9">
        <v>0.25</v>
      </c>
      <c r="F217" s="9">
        <v>0.25694444444444398</v>
      </c>
      <c r="H217" s="4" t="s">
        <v>132</v>
      </c>
      <c r="I217" s="5" t="s">
        <v>134</v>
      </c>
      <c r="J217" s="5" t="s">
        <v>135</v>
      </c>
      <c r="K217">
        <v>2</v>
      </c>
      <c r="L217">
        <v>1</v>
      </c>
      <c r="M217">
        <v>1</v>
      </c>
      <c r="N217">
        <v>5</v>
      </c>
      <c r="O217">
        <v>1</v>
      </c>
      <c r="P217">
        <v>1</v>
      </c>
    </row>
    <row r="218" spans="1:16" x14ac:dyDescent="0.3">
      <c r="A218" s="7" t="s">
        <v>251</v>
      </c>
      <c r="B218" t="s">
        <v>248</v>
      </c>
      <c r="C218" s="7" t="s">
        <v>249</v>
      </c>
      <c r="D218" s="1">
        <v>45379</v>
      </c>
      <c r="E218" s="9">
        <v>0.25</v>
      </c>
      <c r="F218" s="9">
        <v>0.25694444444444398</v>
      </c>
      <c r="H218" s="4" t="s">
        <v>132</v>
      </c>
      <c r="I218" s="5" t="s">
        <v>134</v>
      </c>
      <c r="J218" s="5" t="s">
        <v>135</v>
      </c>
      <c r="K218">
        <v>2</v>
      </c>
      <c r="L218">
        <v>1</v>
      </c>
      <c r="M218">
        <v>1</v>
      </c>
      <c r="N218">
        <v>5</v>
      </c>
      <c r="O218">
        <v>1</v>
      </c>
      <c r="P218">
        <v>1</v>
      </c>
    </row>
    <row r="219" spans="1:16" x14ac:dyDescent="0.3">
      <c r="A219" s="7" t="s">
        <v>253</v>
      </c>
      <c r="B219" t="s">
        <v>255</v>
      </c>
      <c r="C219" s="7" t="s">
        <v>249</v>
      </c>
      <c r="D219" s="1">
        <v>45379</v>
      </c>
      <c r="E219" s="9">
        <v>0.25</v>
      </c>
      <c r="F219" s="9">
        <v>0.25694444444444398</v>
      </c>
      <c r="H219" s="4" t="s">
        <v>132</v>
      </c>
      <c r="I219" s="5" t="s">
        <v>134</v>
      </c>
      <c r="J219" s="5" t="s">
        <v>135</v>
      </c>
      <c r="K219">
        <v>2</v>
      </c>
      <c r="L219">
        <v>1</v>
      </c>
      <c r="M219">
        <v>1</v>
      </c>
      <c r="N219">
        <v>5</v>
      </c>
      <c r="O219">
        <v>1</v>
      </c>
      <c r="P219">
        <v>1</v>
      </c>
    </row>
    <row r="220" spans="1:16" x14ac:dyDescent="0.3">
      <c r="A220" s="7" t="s">
        <v>250</v>
      </c>
      <c r="B220" t="s">
        <v>257</v>
      </c>
      <c r="C220" t="s">
        <v>249</v>
      </c>
      <c r="D220" s="1">
        <v>45380</v>
      </c>
      <c r="E220" s="17">
        <v>0.25</v>
      </c>
      <c r="F220" s="17">
        <v>0.25694444444444442</v>
      </c>
      <c r="H220" s="4" t="s">
        <v>132</v>
      </c>
      <c r="I220" s="5" t="s">
        <v>134</v>
      </c>
      <c r="J220" s="5" t="s">
        <v>135</v>
      </c>
      <c r="K220">
        <v>1</v>
      </c>
      <c r="L220">
        <v>1</v>
      </c>
      <c r="M220">
        <v>1</v>
      </c>
      <c r="N220">
        <v>5</v>
      </c>
      <c r="O220">
        <v>1</v>
      </c>
      <c r="P220">
        <v>1</v>
      </c>
    </row>
    <row r="221" spans="1:16" x14ac:dyDescent="0.3">
      <c r="A221" s="7" t="s">
        <v>251</v>
      </c>
      <c r="B221" t="s">
        <v>248</v>
      </c>
      <c r="C221" t="s">
        <v>249</v>
      </c>
      <c r="D221" s="1">
        <v>45380</v>
      </c>
      <c r="E221" s="17">
        <v>0.25</v>
      </c>
      <c r="F221" s="17">
        <v>0.25694444444444442</v>
      </c>
      <c r="H221" s="4" t="s">
        <v>132</v>
      </c>
      <c r="I221" s="5" t="s">
        <v>134</v>
      </c>
      <c r="J221" s="5" t="s">
        <v>135</v>
      </c>
      <c r="K221">
        <v>1</v>
      </c>
      <c r="L221">
        <v>1</v>
      </c>
      <c r="M221">
        <v>1</v>
      </c>
      <c r="N221">
        <v>5</v>
      </c>
      <c r="O221">
        <v>1</v>
      </c>
      <c r="P221">
        <v>1</v>
      </c>
    </row>
    <row r="222" spans="1:16" x14ac:dyDescent="0.3">
      <c r="A222" s="7" t="s">
        <v>275</v>
      </c>
      <c r="B222" t="s">
        <v>274</v>
      </c>
      <c r="C222" t="s">
        <v>249</v>
      </c>
      <c r="D222" s="1">
        <v>45380</v>
      </c>
      <c r="E222" s="17">
        <v>0.25</v>
      </c>
      <c r="F222" s="17">
        <v>0.25694444444444442</v>
      </c>
      <c r="H222" s="4" t="s">
        <v>132</v>
      </c>
      <c r="I222" s="5" t="s">
        <v>134</v>
      </c>
      <c r="J222" s="5" t="s">
        <v>135</v>
      </c>
      <c r="K222">
        <v>1</v>
      </c>
      <c r="L222">
        <v>1</v>
      </c>
      <c r="M222">
        <v>1</v>
      </c>
      <c r="N222">
        <v>5</v>
      </c>
      <c r="O222">
        <v>1</v>
      </c>
      <c r="P222">
        <v>1</v>
      </c>
    </row>
    <row r="223" spans="1:16" x14ac:dyDescent="0.3">
      <c r="A223" s="7" t="s">
        <v>253</v>
      </c>
      <c r="B223" t="s">
        <v>255</v>
      </c>
      <c r="C223" t="s">
        <v>249</v>
      </c>
      <c r="D223" s="1">
        <v>45380</v>
      </c>
      <c r="E223" s="17">
        <v>0.25</v>
      </c>
      <c r="F223" s="17">
        <v>0.25694444444444442</v>
      </c>
      <c r="H223" s="4" t="s">
        <v>132</v>
      </c>
      <c r="I223" s="5" t="s">
        <v>134</v>
      </c>
      <c r="J223" s="5" t="s">
        <v>135</v>
      </c>
      <c r="K223">
        <v>1</v>
      </c>
      <c r="L223">
        <v>1</v>
      </c>
      <c r="M223">
        <v>1</v>
      </c>
      <c r="N223">
        <v>5</v>
      </c>
      <c r="O223">
        <v>1</v>
      </c>
      <c r="P223">
        <v>1</v>
      </c>
    </row>
    <row r="224" spans="1:16" x14ac:dyDescent="0.3">
      <c r="A224" s="7" t="s">
        <v>262</v>
      </c>
      <c r="B224" t="s">
        <v>263</v>
      </c>
      <c r="C224" t="s">
        <v>249</v>
      </c>
      <c r="D224" s="1">
        <v>45380</v>
      </c>
      <c r="E224" s="17">
        <v>0.25</v>
      </c>
      <c r="F224" s="17">
        <v>0.25694444444444442</v>
      </c>
      <c r="H224" s="4" t="s">
        <v>132</v>
      </c>
      <c r="I224" s="5" t="s">
        <v>134</v>
      </c>
      <c r="J224" s="5" t="s">
        <v>135</v>
      </c>
      <c r="K224">
        <v>1</v>
      </c>
      <c r="L224">
        <v>1</v>
      </c>
      <c r="M224">
        <v>1</v>
      </c>
      <c r="N224">
        <v>5</v>
      </c>
      <c r="O224">
        <v>1</v>
      </c>
      <c r="P224">
        <v>1</v>
      </c>
    </row>
    <row r="225" spans="1:16" x14ac:dyDescent="0.3">
      <c r="A225" s="7" t="s">
        <v>250</v>
      </c>
      <c r="B225" t="s">
        <v>257</v>
      </c>
      <c r="C225" s="7" t="s">
        <v>249</v>
      </c>
      <c r="D225" s="1">
        <v>45415</v>
      </c>
      <c r="E225" s="17">
        <v>0.25069444444444444</v>
      </c>
      <c r="F225" s="17">
        <v>0.25763888888888886</v>
      </c>
      <c r="G225" t="s">
        <v>282</v>
      </c>
      <c r="H225" t="s">
        <v>138</v>
      </c>
      <c r="I225" s="2" t="s">
        <v>139</v>
      </c>
      <c r="J225" s="2" t="s">
        <v>140</v>
      </c>
      <c r="K225">
        <v>3</v>
      </c>
      <c r="L225">
        <v>1</v>
      </c>
      <c r="M225">
        <v>1</v>
      </c>
      <c r="N225">
        <v>5</v>
      </c>
      <c r="O225">
        <v>1</v>
      </c>
      <c r="P225">
        <v>5</v>
      </c>
    </row>
    <row r="226" spans="1:16" x14ac:dyDescent="0.3">
      <c r="A226" s="7" t="s">
        <v>253</v>
      </c>
      <c r="B226" t="s">
        <v>255</v>
      </c>
      <c r="C226" s="7" t="s">
        <v>249</v>
      </c>
      <c r="D226" s="1">
        <v>45415</v>
      </c>
      <c r="E226" s="17">
        <v>0.25069444444444444</v>
      </c>
      <c r="F226" s="17">
        <v>0.25763888888888886</v>
      </c>
      <c r="G226" t="s">
        <v>282</v>
      </c>
      <c r="H226" t="s">
        <v>138</v>
      </c>
      <c r="I226" s="2" t="s">
        <v>139</v>
      </c>
      <c r="J226" s="2" t="s">
        <v>140</v>
      </c>
      <c r="K226">
        <v>3</v>
      </c>
      <c r="L226">
        <v>1</v>
      </c>
      <c r="M226">
        <v>1</v>
      </c>
      <c r="N226">
        <v>5</v>
      </c>
      <c r="O226">
        <v>1</v>
      </c>
      <c r="P226">
        <v>5</v>
      </c>
    </row>
    <row r="227" spans="1:16" x14ac:dyDescent="0.3">
      <c r="A227" s="7" t="s">
        <v>275</v>
      </c>
      <c r="B227" t="s">
        <v>274</v>
      </c>
      <c r="C227" s="7" t="s">
        <v>249</v>
      </c>
      <c r="D227" s="1">
        <v>45415</v>
      </c>
      <c r="E227" s="17">
        <v>0.25069444444444444</v>
      </c>
      <c r="F227" s="17">
        <v>0.25763888888888886</v>
      </c>
      <c r="G227" t="s">
        <v>282</v>
      </c>
      <c r="H227" t="s">
        <v>138</v>
      </c>
      <c r="I227" s="2" t="s">
        <v>139</v>
      </c>
      <c r="J227" s="2" t="s">
        <v>140</v>
      </c>
      <c r="K227">
        <v>3</v>
      </c>
      <c r="L227">
        <v>1</v>
      </c>
      <c r="M227">
        <v>1</v>
      </c>
      <c r="N227">
        <v>5</v>
      </c>
      <c r="O227">
        <v>1</v>
      </c>
      <c r="P227">
        <v>5</v>
      </c>
    </row>
    <row r="228" spans="1:16" x14ac:dyDescent="0.3">
      <c r="A228" s="7" t="s">
        <v>262</v>
      </c>
      <c r="B228" t="s">
        <v>263</v>
      </c>
      <c r="C228" s="7" t="s">
        <v>249</v>
      </c>
      <c r="D228" s="1">
        <v>45415</v>
      </c>
      <c r="E228" s="17">
        <v>0.25069444444444444</v>
      </c>
      <c r="F228" s="17">
        <v>0.25763888888888886</v>
      </c>
      <c r="G228" t="s">
        <v>282</v>
      </c>
      <c r="H228" t="s">
        <v>138</v>
      </c>
      <c r="I228" s="2" t="s">
        <v>139</v>
      </c>
      <c r="J228" s="2" t="s">
        <v>140</v>
      </c>
      <c r="K228">
        <v>3</v>
      </c>
      <c r="L228">
        <v>1</v>
      </c>
      <c r="M228">
        <v>1</v>
      </c>
      <c r="N228">
        <v>5</v>
      </c>
      <c r="O228">
        <v>1</v>
      </c>
      <c r="P228">
        <v>5</v>
      </c>
    </row>
    <row r="229" spans="1:16" x14ac:dyDescent="0.3">
      <c r="A229" s="7" t="s">
        <v>251</v>
      </c>
      <c r="B229" t="s">
        <v>248</v>
      </c>
      <c r="C229" s="7" t="s">
        <v>249</v>
      </c>
      <c r="D229" s="1">
        <v>45415</v>
      </c>
      <c r="E229" s="17">
        <v>0.25069444444444444</v>
      </c>
      <c r="F229" s="17">
        <v>0.25763888888888886</v>
      </c>
      <c r="G229" t="s">
        <v>282</v>
      </c>
      <c r="H229" t="s">
        <v>138</v>
      </c>
      <c r="I229" s="2" t="s">
        <v>139</v>
      </c>
      <c r="J229" s="2" t="s">
        <v>140</v>
      </c>
      <c r="K229">
        <v>3</v>
      </c>
      <c r="L229">
        <v>1</v>
      </c>
      <c r="M229">
        <v>1</v>
      </c>
      <c r="N229">
        <v>5</v>
      </c>
      <c r="O229">
        <v>1</v>
      </c>
      <c r="P229">
        <v>5</v>
      </c>
    </row>
    <row r="230" spans="1:16" x14ac:dyDescent="0.3">
      <c r="A230" s="7" t="s">
        <v>260</v>
      </c>
      <c r="B230" t="s">
        <v>258</v>
      </c>
      <c r="C230" t="s">
        <v>249</v>
      </c>
      <c r="D230" s="1">
        <v>45416</v>
      </c>
      <c r="E230" s="17">
        <v>0.25069444444444444</v>
      </c>
      <c r="F230" s="17">
        <v>0.25763888888888886</v>
      </c>
      <c r="H230" t="s">
        <v>138</v>
      </c>
      <c r="I230" s="2" t="s">
        <v>139</v>
      </c>
      <c r="J230" s="2" t="s">
        <v>140</v>
      </c>
      <c r="K230">
        <v>1</v>
      </c>
      <c r="L230">
        <v>1</v>
      </c>
      <c r="M230">
        <v>1</v>
      </c>
      <c r="N230">
        <v>5</v>
      </c>
      <c r="O230">
        <v>1</v>
      </c>
      <c r="P230">
        <v>1</v>
      </c>
    </row>
    <row r="231" spans="1:16" x14ac:dyDescent="0.3">
      <c r="A231" s="7" t="s">
        <v>253</v>
      </c>
      <c r="B231" t="s">
        <v>255</v>
      </c>
      <c r="C231" t="s">
        <v>249</v>
      </c>
      <c r="D231" s="1">
        <v>45416</v>
      </c>
      <c r="E231" s="17">
        <v>0.25069444444444444</v>
      </c>
      <c r="F231" s="17">
        <v>0.25763888888888886</v>
      </c>
      <c r="H231" t="s">
        <v>138</v>
      </c>
      <c r="I231" s="2" t="s">
        <v>139</v>
      </c>
      <c r="J231" s="2" t="s">
        <v>140</v>
      </c>
      <c r="K231">
        <v>1</v>
      </c>
      <c r="L231">
        <v>1</v>
      </c>
      <c r="M231">
        <v>1</v>
      </c>
      <c r="N231">
        <v>5</v>
      </c>
      <c r="O231">
        <v>1</v>
      </c>
      <c r="P231">
        <v>1</v>
      </c>
    </row>
    <row r="232" spans="1:16" x14ac:dyDescent="0.3">
      <c r="A232" s="7" t="s">
        <v>250</v>
      </c>
      <c r="B232" t="s">
        <v>257</v>
      </c>
      <c r="C232" t="s">
        <v>249</v>
      </c>
      <c r="D232" s="1">
        <v>45416</v>
      </c>
      <c r="E232" s="17">
        <v>0.250694444444444</v>
      </c>
      <c r="F232" s="17">
        <v>0.25763888888888897</v>
      </c>
      <c r="H232" t="s">
        <v>138</v>
      </c>
      <c r="I232" s="2" t="s">
        <v>139</v>
      </c>
      <c r="J232" s="2" t="s">
        <v>140</v>
      </c>
      <c r="K232">
        <v>1</v>
      </c>
      <c r="L232">
        <v>1</v>
      </c>
      <c r="M232">
        <v>1</v>
      </c>
      <c r="N232">
        <v>5</v>
      </c>
      <c r="O232">
        <v>1</v>
      </c>
      <c r="P232">
        <v>1</v>
      </c>
    </row>
    <row r="233" spans="1:16" x14ac:dyDescent="0.3">
      <c r="A233" s="7" t="s">
        <v>275</v>
      </c>
      <c r="B233" t="s">
        <v>274</v>
      </c>
      <c r="C233" t="s">
        <v>249</v>
      </c>
      <c r="D233" s="1">
        <v>45416</v>
      </c>
      <c r="E233" s="17">
        <v>0.250694444444444</v>
      </c>
      <c r="F233" s="17">
        <v>0.25763888888888897</v>
      </c>
      <c r="H233" t="s">
        <v>138</v>
      </c>
      <c r="I233" s="2" t="s">
        <v>139</v>
      </c>
      <c r="J233" s="2" t="s">
        <v>140</v>
      </c>
      <c r="K233">
        <v>1</v>
      </c>
      <c r="L233">
        <v>1</v>
      </c>
      <c r="M233">
        <v>1</v>
      </c>
      <c r="N233">
        <v>5</v>
      </c>
      <c r="O233">
        <v>1</v>
      </c>
      <c r="P233">
        <v>1</v>
      </c>
    </row>
    <row r="234" spans="1:16" x14ac:dyDescent="0.3">
      <c r="A234" s="7" t="s">
        <v>251</v>
      </c>
      <c r="B234" t="s">
        <v>248</v>
      </c>
      <c r="C234" t="s">
        <v>249</v>
      </c>
      <c r="D234" s="1">
        <v>45416</v>
      </c>
      <c r="E234" s="17">
        <v>0.250694444444444</v>
      </c>
      <c r="F234" s="17">
        <v>0.25763888888888897</v>
      </c>
      <c r="H234" t="s">
        <v>138</v>
      </c>
      <c r="I234" s="2" t="s">
        <v>139</v>
      </c>
      <c r="J234" s="2" t="s">
        <v>140</v>
      </c>
      <c r="K234">
        <v>1</v>
      </c>
      <c r="L234">
        <v>1</v>
      </c>
      <c r="M234">
        <v>1</v>
      </c>
      <c r="N234">
        <v>5</v>
      </c>
      <c r="O234">
        <v>1</v>
      </c>
      <c r="P234">
        <v>1</v>
      </c>
    </row>
    <row r="235" spans="1:16" x14ac:dyDescent="0.3">
      <c r="A235" s="7" t="s">
        <v>262</v>
      </c>
      <c r="B235" t="s">
        <v>263</v>
      </c>
      <c r="C235" t="s">
        <v>249</v>
      </c>
      <c r="D235" s="1">
        <v>45416</v>
      </c>
      <c r="E235" s="17">
        <v>0.250694444444444</v>
      </c>
      <c r="F235" s="17">
        <v>0.25763888888888897</v>
      </c>
      <c r="H235" t="s">
        <v>138</v>
      </c>
      <c r="I235" s="2" t="s">
        <v>139</v>
      </c>
      <c r="J235" s="2" t="s">
        <v>140</v>
      </c>
      <c r="K235">
        <v>1</v>
      </c>
      <c r="L235">
        <v>1</v>
      </c>
      <c r="M235">
        <v>1</v>
      </c>
      <c r="N235">
        <v>5</v>
      </c>
      <c r="O235">
        <v>1</v>
      </c>
      <c r="P235">
        <v>1</v>
      </c>
    </row>
    <row r="236" spans="1:16" x14ac:dyDescent="0.3">
      <c r="A236" s="7" t="s">
        <v>250</v>
      </c>
      <c r="B236" t="s">
        <v>257</v>
      </c>
      <c r="C236" s="7" t="s">
        <v>249</v>
      </c>
      <c r="D236" s="1">
        <v>45379</v>
      </c>
      <c r="E236" s="9">
        <v>0.25</v>
      </c>
      <c r="F236" s="9">
        <v>0.25694444444444398</v>
      </c>
      <c r="H236" s="4" t="s">
        <v>141</v>
      </c>
      <c r="I236" s="5" t="s">
        <v>143</v>
      </c>
      <c r="J236" s="5" t="s">
        <v>144</v>
      </c>
      <c r="K236">
        <v>2</v>
      </c>
      <c r="L236">
        <v>1</v>
      </c>
      <c r="M236">
        <v>2</v>
      </c>
      <c r="N236">
        <v>4</v>
      </c>
      <c r="O236">
        <v>1</v>
      </c>
      <c r="P236">
        <v>3</v>
      </c>
    </row>
    <row r="237" spans="1:16" x14ac:dyDescent="0.3">
      <c r="A237" s="7" t="s">
        <v>251</v>
      </c>
      <c r="B237" t="s">
        <v>248</v>
      </c>
      <c r="C237" s="7" t="s">
        <v>249</v>
      </c>
      <c r="D237" s="1">
        <v>45379</v>
      </c>
      <c r="E237" s="9">
        <v>0.25</v>
      </c>
      <c r="F237" s="9">
        <v>0.25694444444444398</v>
      </c>
      <c r="H237" s="4" t="s">
        <v>141</v>
      </c>
      <c r="I237" s="5" t="s">
        <v>143</v>
      </c>
      <c r="J237" s="5" t="s">
        <v>144</v>
      </c>
      <c r="K237">
        <v>2</v>
      </c>
      <c r="L237">
        <v>1</v>
      </c>
      <c r="M237">
        <v>2</v>
      </c>
      <c r="N237">
        <v>4</v>
      </c>
      <c r="O237">
        <v>1</v>
      </c>
      <c r="P237">
        <v>3</v>
      </c>
    </row>
    <row r="238" spans="1:16" x14ac:dyDescent="0.3">
      <c r="A238" s="7" t="s">
        <v>253</v>
      </c>
      <c r="B238" t="s">
        <v>255</v>
      </c>
      <c r="C238" s="7" t="s">
        <v>249</v>
      </c>
      <c r="D238" s="1">
        <v>45379</v>
      </c>
      <c r="E238" s="9">
        <v>0.25</v>
      </c>
      <c r="F238" s="9">
        <v>0.25694444444444398</v>
      </c>
      <c r="H238" s="4" t="s">
        <v>141</v>
      </c>
      <c r="I238" s="5" t="s">
        <v>143</v>
      </c>
      <c r="J238" s="5" t="s">
        <v>144</v>
      </c>
      <c r="K238">
        <v>2</v>
      </c>
      <c r="L238">
        <v>1</v>
      </c>
      <c r="M238">
        <v>2</v>
      </c>
      <c r="N238">
        <v>4</v>
      </c>
      <c r="O238">
        <v>1</v>
      </c>
      <c r="P238">
        <v>3</v>
      </c>
    </row>
    <row r="239" spans="1:16" x14ac:dyDescent="0.3">
      <c r="A239" s="7" t="s">
        <v>262</v>
      </c>
      <c r="B239" t="s">
        <v>263</v>
      </c>
      <c r="C239" s="7" t="s">
        <v>249</v>
      </c>
      <c r="D239" s="1">
        <v>45379</v>
      </c>
      <c r="E239" s="9">
        <v>0.25</v>
      </c>
      <c r="F239" s="9">
        <v>0.25694444444444398</v>
      </c>
      <c r="H239" s="4" t="s">
        <v>141</v>
      </c>
      <c r="I239" s="5" t="s">
        <v>143</v>
      </c>
      <c r="J239" s="5" t="s">
        <v>144</v>
      </c>
      <c r="K239">
        <v>2</v>
      </c>
      <c r="L239">
        <v>1</v>
      </c>
      <c r="M239">
        <v>2</v>
      </c>
      <c r="N239">
        <v>4</v>
      </c>
      <c r="O239">
        <v>1</v>
      </c>
      <c r="P239">
        <v>3</v>
      </c>
    </row>
    <row r="240" spans="1:16" x14ac:dyDescent="0.3">
      <c r="A240" s="7" t="s">
        <v>252</v>
      </c>
      <c r="B240" t="s">
        <v>256</v>
      </c>
      <c r="C240" s="7" t="s">
        <v>249</v>
      </c>
      <c r="D240" s="1">
        <v>45379</v>
      </c>
      <c r="E240" s="9">
        <v>0.25</v>
      </c>
      <c r="F240" s="9">
        <v>0.25694444444444398</v>
      </c>
      <c r="H240" s="4" t="s">
        <v>141</v>
      </c>
      <c r="I240" s="5" t="s">
        <v>143</v>
      </c>
      <c r="J240" s="5" t="s">
        <v>144</v>
      </c>
      <c r="K240">
        <v>2</v>
      </c>
      <c r="L240">
        <v>1</v>
      </c>
      <c r="M240">
        <v>2</v>
      </c>
      <c r="N240">
        <v>4</v>
      </c>
      <c r="O240">
        <v>1</v>
      </c>
      <c r="P240">
        <v>3</v>
      </c>
    </row>
    <row r="241" spans="1:16" x14ac:dyDescent="0.3">
      <c r="A241" s="7" t="s">
        <v>275</v>
      </c>
      <c r="B241" t="s">
        <v>274</v>
      </c>
      <c r="C241" s="7" t="s">
        <v>249</v>
      </c>
      <c r="D241" s="1">
        <v>45379</v>
      </c>
      <c r="E241" s="9">
        <v>0.25</v>
      </c>
      <c r="F241" s="9">
        <v>0.25694444444444398</v>
      </c>
      <c r="H241" s="4" t="s">
        <v>141</v>
      </c>
      <c r="I241" s="5" t="s">
        <v>143</v>
      </c>
      <c r="J241" s="5" t="s">
        <v>144</v>
      </c>
      <c r="K241">
        <v>2</v>
      </c>
      <c r="L241">
        <v>1</v>
      </c>
      <c r="M241">
        <v>2</v>
      </c>
      <c r="N241">
        <v>4</v>
      </c>
      <c r="O241">
        <v>1</v>
      </c>
      <c r="P241">
        <v>3</v>
      </c>
    </row>
    <row r="242" spans="1:16" x14ac:dyDescent="0.3">
      <c r="A242" s="7" t="s">
        <v>253</v>
      </c>
      <c r="B242" t="s">
        <v>255</v>
      </c>
      <c r="C242" t="s">
        <v>249</v>
      </c>
      <c r="D242" s="1">
        <v>45380</v>
      </c>
      <c r="E242" s="17">
        <v>0.25</v>
      </c>
      <c r="F242" s="17">
        <v>0.25694444444444442</v>
      </c>
      <c r="H242" s="4" t="s">
        <v>141</v>
      </c>
      <c r="I242" s="5" t="s">
        <v>143</v>
      </c>
      <c r="J242" s="5" t="s">
        <v>144</v>
      </c>
      <c r="K242">
        <v>1</v>
      </c>
      <c r="L242">
        <v>1</v>
      </c>
      <c r="M242">
        <v>1</v>
      </c>
      <c r="N242">
        <v>4</v>
      </c>
      <c r="O242">
        <v>1</v>
      </c>
      <c r="P242">
        <v>1</v>
      </c>
    </row>
    <row r="243" spans="1:16" x14ac:dyDescent="0.3">
      <c r="A243" s="7" t="s">
        <v>251</v>
      </c>
      <c r="B243" t="s">
        <v>248</v>
      </c>
      <c r="C243" t="s">
        <v>249</v>
      </c>
      <c r="D243" s="1">
        <v>45380</v>
      </c>
      <c r="E243" s="17">
        <v>0.25</v>
      </c>
      <c r="F243" s="17">
        <v>0.25694444444444442</v>
      </c>
      <c r="H243" s="4" t="s">
        <v>141</v>
      </c>
      <c r="I243" s="5" t="s">
        <v>143</v>
      </c>
      <c r="J243" s="5" t="s">
        <v>144</v>
      </c>
      <c r="K243">
        <v>1</v>
      </c>
      <c r="L243">
        <v>1</v>
      </c>
      <c r="M243">
        <v>1</v>
      </c>
      <c r="N243">
        <v>4</v>
      </c>
      <c r="O243">
        <v>1</v>
      </c>
      <c r="P243">
        <v>1</v>
      </c>
    </row>
    <row r="244" spans="1:16" x14ac:dyDescent="0.3">
      <c r="A244" s="7" t="s">
        <v>250</v>
      </c>
      <c r="B244" t="s">
        <v>257</v>
      </c>
      <c r="C244" t="s">
        <v>249</v>
      </c>
      <c r="D244" s="1">
        <v>45380</v>
      </c>
      <c r="E244" s="17">
        <v>0.25</v>
      </c>
      <c r="F244" s="17">
        <v>0.25694444444444398</v>
      </c>
      <c r="H244" s="4" t="s">
        <v>141</v>
      </c>
      <c r="I244" s="5" t="s">
        <v>143</v>
      </c>
      <c r="J244" s="5" t="s">
        <v>144</v>
      </c>
      <c r="K244">
        <v>1</v>
      </c>
      <c r="L244">
        <v>1</v>
      </c>
      <c r="M244">
        <v>1</v>
      </c>
      <c r="N244">
        <v>4</v>
      </c>
      <c r="O244">
        <v>1</v>
      </c>
      <c r="P244">
        <v>1</v>
      </c>
    </row>
    <row r="245" spans="1:16" x14ac:dyDescent="0.3">
      <c r="A245" s="7" t="s">
        <v>252</v>
      </c>
      <c r="B245" t="s">
        <v>256</v>
      </c>
      <c r="C245" t="s">
        <v>249</v>
      </c>
      <c r="D245" s="1">
        <v>45380</v>
      </c>
      <c r="E245" s="17">
        <v>0.25</v>
      </c>
      <c r="F245" s="17">
        <v>0.25694444444444398</v>
      </c>
      <c r="H245" s="4" t="s">
        <v>141</v>
      </c>
      <c r="I245" s="5" t="s">
        <v>143</v>
      </c>
      <c r="J245" s="5" t="s">
        <v>144</v>
      </c>
      <c r="K245">
        <v>1</v>
      </c>
      <c r="L245">
        <v>1</v>
      </c>
      <c r="M245">
        <v>1</v>
      </c>
      <c r="N245">
        <v>4</v>
      </c>
      <c r="O245">
        <v>1</v>
      </c>
      <c r="P245">
        <v>1</v>
      </c>
    </row>
    <row r="246" spans="1:16" x14ac:dyDescent="0.3">
      <c r="A246" s="7" t="s">
        <v>262</v>
      </c>
      <c r="B246" t="s">
        <v>263</v>
      </c>
      <c r="C246" t="s">
        <v>249</v>
      </c>
      <c r="D246" s="1">
        <v>45380</v>
      </c>
      <c r="E246" s="17">
        <v>0.25</v>
      </c>
      <c r="F246" s="17">
        <v>0.25694444444444398</v>
      </c>
      <c r="H246" s="4" t="s">
        <v>141</v>
      </c>
      <c r="I246" s="5" t="s">
        <v>143</v>
      </c>
      <c r="J246" s="5" t="s">
        <v>144</v>
      </c>
      <c r="K246">
        <v>1</v>
      </c>
      <c r="L246">
        <v>1</v>
      </c>
      <c r="M246">
        <v>1</v>
      </c>
      <c r="N246">
        <v>4</v>
      </c>
      <c r="O246">
        <v>1</v>
      </c>
      <c r="P246">
        <v>1</v>
      </c>
    </row>
    <row r="247" spans="1:16" x14ac:dyDescent="0.3">
      <c r="A247" s="7" t="s">
        <v>260</v>
      </c>
      <c r="B247" t="s">
        <v>258</v>
      </c>
      <c r="C247" t="s">
        <v>249</v>
      </c>
      <c r="D247" s="1">
        <v>45380</v>
      </c>
      <c r="E247" s="17">
        <v>0.25</v>
      </c>
      <c r="F247" s="17">
        <v>0.25694444444444398</v>
      </c>
      <c r="H247" s="4" t="s">
        <v>141</v>
      </c>
      <c r="I247" s="5" t="s">
        <v>143</v>
      </c>
      <c r="J247" s="5" t="s">
        <v>144</v>
      </c>
      <c r="K247">
        <v>1</v>
      </c>
      <c r="L247">
        <v>1</v>
      </c>
      <c r="M247">
        <v>1</v>
      </c>
      <c r="N247">
        <v>4</v>
      </c>
      <c r="O247">
        <v>1</v>
      </c>
      <c r="P247">
        <v>1</v>
      </c>
    </row>
    <row r="248" spans="1:16" x14ac:dyDescent="0.3">
      <c r="A248" s="7" t="s">
        <v>250</v>
      </c>
      <c r="B248" t="s">
        <v>257</v>
      </c>
      <c r="C248" s="7" t="s">
        <v>249</v>
      </c>
      <c r="D248" s="1">
        <v>45379</v>
      </c>
      <c r="E248" s="9">
        <v>0.25</v>
      </c>
      <c r="F248" s="9">
        <v>0.25694444444444398</v>
      </c>
      <c r="H248" t="s">
        <v>146</v>
      </c>
      <c r="I248" s="2" t="s">
        <v>147</v>
      </c>
      <c r="J248" s="2" t="s">
        <v>148</v>
      </c>
      <c r="K248">
        <v>4</v>
      </c>
      <c r="L248">
        <v>1</v>
      </c>
      <c r="M248">
        <v>1</v>
      </c>
      <c r="N248">
        <v>3</v>
      </c>
      <c r="O248">
        <v>1</v>
      </c>
      <c r="P248">
        <v>1</v>
      </c>
    </row>
    <row r="249" spans="1:16" x14ac:dyDescent="0.3">
      <c r="A249" s="7" t="s">
        <v>251</v>
      </c>
      <c r="B249" t="s">
        <v>248</v>
      </c>
      <c r="C249" s="7" t="s">
        <v>249</v>
      </c>
      <c r="D249" s="1">
        <v>45379</v>
      </c>
      <c r="E249" s="9">
        <v>0.25</v>
      </c>
      <c r="F249" s="9">
        <v>0.25694444444444398</v>
      </c>
      <c r="H249" t="s">
        <v>146</v>
      </c>
      <c r="I249" s="2" t="s">
        <v>147</v>
      </c>
      <c r="J249" s="2" t="s">
        <v>148</v>
      </c>
      <c r="K249">
        <v>4</v>
      </c>
      <c r="L249">
        <v>1</v>
      </c>
      <c r="M249">
        <v>1</v>
      </c>
      <c r="N249">
        <v>3</v>
      </c>
      <c r="O249">
        <v>1</v>
      </c>
      <c r="P249">
        <v>1</v>
      </c>
    </row>
    <row r="250" spans="1:16" x14ac:dyDescent="0.3">
      <c r="A250" s="7" t="s">
        <v>252</v>
      </c>
      <c r="B250" t="s">
        <v>256</v>
      </c>
      <c r="C250" s="7" t="s">
        <v>249</v>
      </c>
      <c r="D250" s="1">
        <v>45379</v>
      </c>
      <c r="E250" s="9">
        <v>0.25</v>
      </c>
      <c r="F250" s="9">
        <v>0.25694444444444398</v>
      </c>
      <c r="H250" t="s">
        <v>146</v>
      </c>
      <c r="I250" s="2" t="s">
        <v>147</v>
      </c>
      <c r="J250" s="2" t="s">
        <v>148</v>
      </c>
      <c r="K250">
        <v>4</v>
      </c>
      <c r="L250">
        <v>1</v>
      </c>
      <c r="M250">
        <v>1</v>
      </c>
      <c r="N250">
        <v>3</v>
      </c>
      <c r="O250">
        <v>1</v>
      </c>
      <c r="P250">
        <v>1</v>
      </c>
    </row>
    <row r="251" spans="1:16" x14ac:dyDescent="0.3">
      <c r="A251" s="7" t="s">
        <v>275</v>
      </c>
      <c r="B251" t="s">
        <v>274</v>
      </c>
      <c r="C251" s="7" t="s">
        <v>249</v>
      </c>
      <c r="D251" s="1">
        <v>45379</v>
      </c>
      <c r="E251" s="9">
        <v>0.25</v>
      </c>
      <c r="F251" s="9">
        <v>0.25694444444444398</v>
      </c>
      <c r="H251" t="s">
        <v>146</v>
      </c>
      <c r="I251" s="2" t="s">
        <v>147</v>
      </c>
      <c r="J251" s="2" t="s">
        <v>148</v>
      </c>
      <c r="K251">
        <v>4</v>
      </c>
      <c r="L251">
        <v>1</v>
      </c>
      <c r="M251">
        <v>1</v>
      </c>
      <c r="N251">
        <v>3</v>
      </c>
      <c r="O251">
        <v>1</v>
      </c>
      <c r="P251">
        <v>1</v>
      </c>
    </row>
    <row r="252" spans="1:16" x14ac:dyDescent="0.3">
      <c r="A252" s="7" t="s">
        <v>253</v>
      </c>
      <c r="B252" t="s">
        <v>255</v>
      </c>
      <c r="C252" s="7" t="s">
        <v>249</v>
      </c>
      <c r="D252" s="1">
        <v>45379</v>
      </c>
      <c r="E252" s="9">
        <v>0.25</v>
      </c>
      <c r="F252" s="9">
        <v>0.25694444444444398</v>
      </c>
      <c r="H252" t="s">
        <v>146</v>
      </c>
      <c r="I252" s="2" t="s">
        <v>147</v>
      </c>
      <c r="J252" s="2" t="s">
        <v>148</v>
      </c>
      <c r="K252">
        <v>4</v>
      </c>
      <c r="L252">
        <v>1</v>
      </c>
      <c r="M252">
        <v>1</v>
      </c>
      <c r="N252">
        <v>3</v>
      </c>
      <c r="O252">
        <v>1</v>
      </c>
      <c r="P252">
        <v>1</v>
      </c>
    </row>
    <row r="253" spans="1:16" x14ac:dyDescent="0.3">
      <c r="A253" s="7" t="s">
        <v>262</v>
      </c>
      <c r="B253" t="s">
        <v>263</v>
      </c>
      <c r="C253" s="7" t="s">
        <v>249</v>
      </c>
      <c r="D253" s="1">
        <v>45379</v>
      </c>
      <c r="E253" s="9">
        <v>0.25</v>
      </c>
      <c r="F253" s="9">
        <v>0.25694444444444398</v>
      </c>
      <c r="H253" t="s">
        <v>146</v>
      </c>
      <c r="I253" s="2" t="s">
        <v>147</v>
      </c>
      <c r="J253" s="2" t="s">
        <v>148</v>
      </c>
      <c r="K253">
        <v>4</v>
      </c>
      <c r="L253">
        <v>1</v>
      </c>
      <c r="M253">
        <v>1</v>
      </c>
      <c r="N253">
        <v>3</v>
      </c>
      <c r="O253">
        <v>1</v>
      </c>
      <c r="P253">
        <v>1</v>
      </c>
    </row>
    <row r="254" spans="1:16" x14ac:dyDescent="0.3">
      <c r="A254" s="7" t="s">
        <v>250</v>
      </c>
      <c r="B254" t="s">
        <v>257</v>
      </c>
      <c r="C254" t="s">
        <v>249</v>
      </c>
      <c r="D254" s="1">
        <v>45380</v>
      </c>
      <c r="E254" s="17">
        <v>0.25</v>
      </c>
      <c r="F254" s="17">
        <v>0.25694444444444398</v>
      </c>
      <c r="H254" t="s">
        <v>146</v>
      </c>
      <c r="I254" s="2" t="s">
        <v>147</v>
      </c>
      <c r="J254" s="2" t="s">
        <v>148</v>
      </c>
      <c r="K254">
        <v>2</v>
      </c>
      <c r="L254">
        <v>1</v>
      </c>
      <c r="M254">
        <v>1</v>
      </c>
      <c r="N254">
        <v>5</v>
      </c>
      <c r="O254">
        <v>1</v>
      </c>
      <c r="P254">
        <v>1</v>
      </c>
    </row>
    <row r="255" spans="1:16" x14ac:dyDescent="0.3">
      <c r="A255" s="7" t="s">
        <v>251</v>
      </c>
      <c r="B255" t="s">
        <v>248</v>
      </c>
      <c r="C255" t="s">
        <v>249</v>
      </c>
      <c r="D255" s="1">
        <v>45380</v>
      </c>
      <c r="E255" s="17">
        <v>0.25</v>
      </c>
      <c r="F255" s="17">
        <v>0.25694444444444398</v>
      </c>
      <c r="H255" t="s">
        <v>146</v>
      </c>
      <c r="I255" s="2" t="s">
        <v>147</v>
      </c>
      <c r="J255" s="2" t="s">
        <v>148</v>
      </c>
      <c r="K255">
        <v>2</v>
      </c>
      <c r="L255">
        <v>1</v>
      </c>
      <c r="M255">
        <v>1</v>
      </c>
      <c r="N255">
        <v>5</v>
      </c>
      <c r="O255">
        <v>1</v>
      </c>
      <c r="P255">
        <v>1</v>
      </c>
    </row>
    <row r="256" spans="1:16" x14ac:dyDescent="0.3">
      <c r="A256" s="7" t="s">
        <v>253</v>
      </c>
      <c r="B256" t="s">
        <v>255</v>
      </c>
      <c r="C256" t="s">
        <v>249</v>
      </c>
      <c r="D256" s="1">
        <v>45380</v>
      </c>
      <c r="E256" s="17">
        <v>0.25</v>
      </c>
      <c r="F256" s="17">
        <v>0.25694444444444398</v>
      </c>
      <c r="H256" t="s">
        <v>146</v>
      </c>
      <c r="I256" s="2" t="s">
        <v>147</v>
      </c>
      <c r="J256" s="2" t="s">
        <v>148</v>
      </c>
      <c r="K256">
        <v>2</v>
      </c>
      <c r="L256">
        <v>1</v>
      </c>
      <c r="M256">
        <v>1</v>
      </c>
      <c r="N256">
        <v>5</v>
      </c>
      <c r="O256">
        <v>1</v>
      </c>
      <c r="P256">
        <v>1</v>
      </c>
    </row>
    <row r="257" spans="1:16" x14ac:dyDescent="0.3">
      <c r="A257" s="7" t="s">
        <v>275</v>
      </c>
      <c r="B257" t="s">
        <v>274</v>
      </c>
      <c r="C257" t="s">
        <v>249</v>
      </c>
      <c r="D257" s="1">
        <v>45380</v>
      </c>
      <c r="E257" s="17">
        <v>0.25</v>
      </c>
      <c r="F257" s="17">
        <v>0.25694444444444398</v>
      </c>
      <c r="H257" t="s">
        <v>146</v>
      </c>
      <c r="I257" s="2" t="s">
        <v>147</v>
      </c>
      <c r="J257" s="2" t="s">
        <v>148</v>
      </c>
      <c r="K257">
        <v>2</v>
      </c>
      <c r="L257">
        <v>1</v>
      </c>
      <c r="M257">
        <v>1</v>
      </c>
      <c r="N257">
        <v>5</v>
      </c>
      <c r="O257">
        <v>1</v>
      </c>
      <c r="P257">
        <v>1</v>
      </c>
    </row>
    <row r="258" spans="1:16" x14ac:dyDescent="0.3">
      <c r="A258" s="7" t="s">
        <v>289</v>
      </c>
      <c r="B258" t="s">
        <v>290</v>
      </c>
      <c r="C258" t="s">
        <v>249</v>
      </c>
      <c r="D258" s="1">
        <v>45380</v>
      </c>
      <c r="E258" s="17">
        <v>0.25</v>
      </c>
      <c r="F258" s="17">
        <v>0.25694444444444398</v>
      </c>
      <c r="H258" t="s">
        <v>146</v>
      </c>
      <c r="I258" s="2" t="s">
        <v>147</v>
      </c>
      <c r="J258" s="2" t="s">
        <v>148</v>
      </c>
      <c r="K258">
        <v>2</v>
      </c>
      <c r="L258">
        <v>1</v>
      </c>
      <c r="M258">
        <v>1</v>
      </c>
      <c r="N258">
        <v>5</v>
      </c>
      <c r="O258">
        <v>1</v>
      </c>
      <c r="P258">
        <v>1</v>
      </c>
    </row>
    <row r="259" spans="1:16" x14ac:dyDescent="0.3">
      <c r="A259" s="7" t="s">
        <v>262</v>
      </c>
      <c r="B259" t="s">
        <v>263</v>
      </c>
      <c r="C259" t="s">
        <v>249</v>
      </c>
      <c r="D259" s="1">
        <v>45380</v>
      </c>
      <c r="E259" s="17">
        <v>0.25</v>
      </c>
      <c r="F259" s="17">
        <v>0.25694444444444398</v>
      </c>
      <c r="H259" t="s">
        <v>146</v>
      </c>
      <c r="I259" s="2" t="s">
        <v>147</v>
      </c>
      <c r="J259" s="2" t="s">
        <v>148</v>
      </c>
      <c r="K259">
        <v>2</v>
      </c>
      <c r="L259">
        <v>1</v>
      </c>
      <c r="M259">
        <v>1</v>
      </c>
      <c r="N259">
        <v>5</v>
      </c>
      <c r="O259">
        <v>1</v>
      </c>
      <c r="P259">
        <v>1</v>
      </c>
    </row>
    <row r="260" spans="1:16" x14ac:dyDescent="0.3">
      <c r="A260" s="7" t="s">
        <v>252</v>
      </c>
      <c r="B260" t="s">
        <v>256</v>
      </c>
      <c r="C260" t="s">
        <v>249</v>
      </c>
      <c r="D260" s="1">
        <v>45380</v>
      </c>
      <c r="E260" s="17">
        <v>0.25</v>
      </c>
      <c r="F260" s="17">
        <v>0.25694444444444398</v>
      </c>
      <c r="H260" t="s">
        <v>146</v>
      </c>
      <c r="I260" s="2" t="s">
        <v>147</v>
      </c>
      <c r="J260" s="2" t="s">
        <v>148</v>
      </c>
      <c r="K260">
        <v>2</v>
      </c>
      <c r="L260">
        <v>1</v>
      </c>
      <c r="M260">
        <v>1</v>
      </c>
      <c r="N260">
        <v>5</v>
      </c>
      <c r="O260">
        <v>1</v>
      </c>
      <c r="P260">
        <v>1</v>
      </c>
    </row>
    <row r="261" spans="1:16" x14ac:dyDescent="0.3">
      <c r="A261" s="7" t="s">
        <v>250</v>
      </c>
      <c r="B261" t="s">
        <v>257</v>
      </c>
      <c r="C261" s="7" t="s">
        <v>249</v>
      </c>
      <c r="D261" s="1">
        <v>45415</v>
      </c>
      <c r="E261" s="17">
        <v>0.25277777777777777</v>
      </c>
      <c r="F261" s="17">
        <v>0.25972222222222224</v>
      </c>
      <c r="H261" s="4" t="s">
        <v>150</v>
      </c>
      <c r="I261" s="5" t="s">
        <v>151</v>
      </c>
      <c r="J261" s="5" t="s">
        <v>152</v>
      </c>
      <c r="K261">
        <v>3</v>
      </c>
      <c r="L261">
        <v>1</v>
      </c>
      <c r="M261">
        <v>1</v>
      </c>
      <c r="N261">
        <v>4</v>
      </c>
      <c r="O261">
        <v>3</v>
      </c>
      <c r="P261">
        <v>1</v>
      </c>
    </row>
    <row r="262" spans="1:16" x14ac:dyDescent="0.3">
      <c r="A262" s="7" t="s">
        <v>253</v>
      </c>
      <c r="B262" t="s">
        <v>255</v>
      </c>
      <c r="C262" s="7" t="s">
        <v>249</v>
      </c>
      <c r="D262" s="1">
        <v>45415</v>
      </c>
      <c r="E262" s="17">
        <v>0.25277777777777777</v>
      </c>
      <c r="F262" s="17">
        <v>0.25972222222222224</v>
      </c>
      <c r="H262" s="4" t="s">
        <v>150</v>
      </c>
      <c r="I262" s="5" t="s">
        <v>151</v>
      </c>
      <c r="J262" s="5" t="s">
        <v>152</v>
      </c>
      <c r="K262">
        <v>3</v>
      </c>
      <c r="L262">
        <v>1</v>
      </c>
      <c r="M262">
        <v>1</v>
      </c>
      <c r="N262">
        <v>4</v>
      </c>
      <c r="O262">
        <v>3</v>
      </c>
      <c r="P262">
        <v>1</v>
      </c>
    </row>
    <row r="263" spans="1:16" x14ac:dyDescent="0.3">
      <c r="A263" s="7" t="s">
        <v>252</v>
      </c>
      <c r="B263" t="s">
        <v>256</v>
      </c>
      <c r="C263" s="7" t="s">
        <v>249</v>
      </c>
      <c r="D263" s="1">
        <v>45415</v>
      </c>
      <c r="E263" s="17">
        <v>0.25277777777777777</v>
      </c>
      <c r="F263" s="17">
        <v>0.25972222222222224</v>
      </c>
      <c r="H263" s="4" t="s">
        <v>150</v>
      </c>
      <c r="I263" s="5" t="s">
        <v>151</v>
      </c>
      <c r="J263" s="5" t="s">
        <v>152</v>
      </c>
      <c r="K263">
        <v>3</v>
      </c>
      <c r="L263">
        <v>1</v>
      </c>
      <c r="M263">
        <v>1</v>
      </c>
      <c r="N263">
        <v>4</v>
      </c>
      <c r="O263">
        <v>3</v>
      </c>
      <c r="P263">
        <v>1</v>
      </c>
    </row>
    <row r="264" spans="1:16" x14ac:dyDescent="0.3">
      <c r="A264" s="7" t="s">
        <v>251</v>
      </c>
      <c r="B264" t="s">
        <v>248</v>
      </c>
      <c r="C264" s="7" t="s">
        <v>249</v>
      </c>
      <c r="D264" s="1">
        <v>45415</v>
      </c>
      <c r="E264" s="17">
        <v>0.25277777777777777</v>
      </c>
      <c r="F264" s="17">
        <v>0.25972222222222224</v>
      </c>
      <c r="H264" s="4" t="s">
        <v>150</v>
      </c>
      <c r="I264" s="5" t="s">
        <v>151</v>
      </c>
      <c r="J264" s="5" t="s">
        <v>152</v>
      </c>
      <c r="K264">
        <v>3</v>
      </c>
      <c r="L264">
        <v>1</v>
      </c>
      <c r="M264">
        <v>1</v>
      </c>
      <c r="N264">
        <v>4</v>
      </c>
      <c r="O264">
        <v>3</v>
      </c>
      <c r="P264">
        <v>1</v>
      </c>
    </row>
    <row r="265" spans="1:16" x14ac:dyDescent="0.3">
      <c r="A265" s="7" t="s">
        <v>262</v>
      </c>
      <c r="B265" t="s">
        <v>263</v>
      </c>
      <c r="C265" s="7" t="s">
        <v>249</v>
      </c>
      <c r="D265" s="1">
        <v>45415</v>
      </c>
      <c r="E265" s="17">
        <v>0.25277777777777777</v>
      </c>
      <c r="F265" s="17">
        <v>0.25972222222222224</v>
      </c>
      <c r="H265" s="4" t="s">
        <v>150</v>
      </c>
      <c r="I265" s="5" t="s">
        <v>151</v>
      </c>
      <c r="J265" s="5" t="s">
        <v>152</v>
      </c>
      <c r="K265">
        <v>3</v>
      </c>
      <c r="L265">
        <v>1</v>
      </c>
      <c r="M265">
        <v>1</v>
      </c>
      <c r="N265">
        <v>4</v>
      </c>
      <c r="O265">
        <v>3</v>
      </c>
      <c r="P265">
        <v>1</v>
      </c>
    </row>
    <row r="266" spans="1:16" x14ac:dyDescent="0.3">
      <c r="A266" s="7" t="s">
        <v>251</v>
      </c>
      <c r="B266" t="s">
        <v>248</v>
      </c>
      <c r="C266" t="s">
        <v>249</v>
      </c>
      <c r="D266" s="1">
        <v>45416</v>
      </c>
      <c r="E266" s="17">
        <v>0.25277777777777777</v>
      </c>
      <c r="F266" s="17">
        <v>0.25972222222222224</v>
      </c>
      <c r="H266" s="4" t="s">
        <v>150</v>
      </c>
      <c r="I266" s="5" t="s">
        <v>151</v>
      </c>
      <c r="J266" s="5" t="s">
        <v>152</v>
      </c>
      <c r="K266">
        <v>1</v>
      </c>
      <c r="L266">
        <v>1</v>
      </c>
      <c r="M266">
        <v>1</v>
      </c>
      <c r="N266">
        <v>5</v>
      </c>
      <c r="O266">
        <v>1</v>
      </c>
      <c r="P266">
        <v>1</v>
      </c>
    </row>
    <row r="267" spans="1:16" x14ac:dyDescent="0.3">
      <c r="A267" s="7" t="s">
        <v>252</v>
      </c>
      <c r="B267" t="s">
        <v>256</v>
      </c>
      <c r="C267" t="s">
        <v>249</v>
      </c>
      <c r="D267" s="1">
        <v>45416</v>
      </c>
      <c r="E267" s="17">
        <v>0.25277777777777777</v>
      </c>
      <c r="F267" s="17">
        <v>0.25972222222222224</v>
      </c>
      <c r="H267" s="4" t="s">
        <v>150</v>
      </c>
      <c r="I267" s="5" t="s">
        <v>151</v>
      </c>
      <c r="J267" s="5" t="s">
        <v>152</v>
      </c>
      <c r="K267">
        <v>1</v>
      </c>
      <c r="L267">
        <v>1</v>
      </c>
      <c r="M267">
        <v>1</v>
      </c>
      <c r="N267">
        <v>5</v>
      </c>
      <c r="O267">
        <v>1</v>
      </c>
      <c r="P267">
        <v>1</v>
      </c>
    </row>
    <row r="268" spans="1:16" x14ac:dyDescent="0.3">
      <c r="A268" s="7" t="s">
        <v>253</v>
      </c>
      <c r="B268" t="s">
        <v>255</v>
      </c>
      <c r="C268" t="s">
        <v>249</v>
      </c>
      <c r="D268" s="1">
        <v>45416</v>
      </c>
      <c r="E268" s="17">
        <v>0.25277777777777799</v>
      </c>
      <c r="F268" s="17">
        <v>0.25972222222222202</v>
      </c>
      <c r="H268" s="4" t="s">
        <v>150</v>
      </c>
      <c r="I268" s="5" t="s">
        <v>151</v>
      </c>
      <c r="J268" s="5" t="s">
        <v>152</v>
      </c>
      <c r="K268">
        <v>1</v>
      </c>
      <c r="L268">
        <v>1</v>
      </c>
      <c r="M268">
        <v>1</v>
      </c>
      <c r="N268">
        <v>5</v>
      </c>
      <c r="O268">
        <v>1</v>
      </c>
      <c r="P268">
        <v>1</v>
      </c>
    </row>
    <row r="269" spans="1:16" x14ac:dyDescent="0.3">
      <c r="A269" s="7" t="s">
        <v>250</v>
      </c>
      <c r="B269" t="s">
        <v>257</v>
      </c>
      <c r="C269" t="s">
        <v>249</v>
      </c>
      <c r="D269" s="1">
        <v>45416</v>
      </c>
      <c r="E269" s="17">
        <v>0.25277777777777799</v>
      </c>
      <c r="F269" s="17">
        <v>0.25972222222222202</v>
      </c>
      <c r="H269" s="4" t="s">
        <v>150</v>
      </c>
      <c r="I269" s="5" t="s">
        <v>151</v>
      </c>
      <c r="J269" s="5" t="s">
        <v>152</v>
      </c>
      <c r="K269">
        <v>1</v>
      </c>
      <c r="L269">
        <v>1</v>
      </c>
      <c r="M269">
        <v>1</v>
      </c>
      <c r="N269">
        <v>5</v>
      </c>
      <c r="O269">
        <v>1</v>
      </c>
      <c r="P269">
        <v>1</v>
      </c>
    </row>
    <row r="270" spans="1:16" x14ac:dyDescent="0.3">
      <c r="A270" s="7" t="s">
        <v>262</v>
      </c>
      <c r="B270" t="s">
        <v>263</v>
      </c>
      <c r="C270" t="s">
        <v>249</v>
      </c>
      <c r="D270" s="1">
        <v>45416</v>
      </c>
      <c r="E270" s="17">
        <v>0.25277777777777799</v>
      </c>
      <c r="F270" s="17">
        <v>0.25972222222222202</v>
      </c>
      <c r="H270" s="4" t="s">
        <v>150</v>
      </c>
      <c r="I270" s="5" t="s">
        <v>151</v>
      </c>
      <c r="J270" s="5" t="s">
        <v>152</v>
      </c>
      <c r="K270">
        <v>1</v>
      </c>
      <c r="L270">
        <v>1</v>
      </c>
      <c r="M270">
        <v>1</v>
      </c>
      <c r="N270">
        <v>5</v>
      </c>
      <c r="O270">
        <v>1</v>
      </c>
      <c r="P270">
        <v>1</v>
      </c>
    </row>
    <row r="271" spans="1:16" x14ac:dyDescent="0.3">
      <c r="A271" s="7" t="s">
        <v>275</v>
      </c>
      <c r="B271" t="s">
        <v>274</v>
      </c>
      <c r="C271" t="s">
        <v>249</v>
      </c>
      <c r="D271" s="1">
        <v>45416</v>
      </c>
      <c r="E271" s="17">
        <v>0.25277777777777799</v>
      </c>
      <c r="F271" s="17">
        <v>0.25972222222222202</v>
      </c>
      <c r="H271" s="4" t="s">
        <v>150</v>
      </c>
      <c r="I271" s="5" t="s">
        <v>151</v>
      </c>
      <c r="J271" s="5" t="s">
        <v>152</v>
      </c>
      <c r="K271">
        <v>1</v>
      </c>
      <c r="L271">
        <v>1</v>
      </c>
      <c r="M271">
        <v>1</v>
      </c>
      <c r="N271">
        <v>5</v>
      </c>
      <c r="O271">
        <v>1</v>
      </c>
      <c r="P271">
        <v>1</v>
      </c>
    </row>
    <row r="272" spans="1:16" x14ac:dyDescent="0.3">
      <c r="A272" s="7" t="s">
        <v>250</v>
      </c>
      <c r="B272" t="s">
        <v>257</v>
      </c>
      <c r="C272" s="7" t="s">
        <v>249</v>
      </c>
      <c r="D272" s="1">
        <v>45415</v>
      </c>
      <c r="E272" s="9">
        <v>0.25</v>
      </c>
      <c r="F272" s="9">
        <v>0.25694444444444398</v>
      </c>
      <c r="H272" t="s">
        <v>28</v>
      </c>
      <c r="I272" s="2" t="s">
        <v>30</v>
      </c>
      <c r="J272" s="2" t="s">
        <v>31</v>
      </c>
      <c r="K272">
        <v>4</v>
      </c>
      <c r="L272">
        <v>1</v>
      </c>
      <c r="M272">
        <v>1</v>
      </c>
      <c r="N272">
        <v>3</v>
      </c>
      <c r="O272">
        <v>1</v>
      </c>
      <c r="P272">
        <v>1</v>
      </c>
    </row>
    <row r="273" spans="1:16" x14ac:dyDescent="0.3">
      <c r="A273" s="7" t="s">
        <v>253</v>
      </c>
      <c r="B273" t="s">
        <v>255</v>
      </c>
      <c r="C273" s="7" t="s">
        <v>249</v>
      </c>
      <c r="D273" s="1">
        <v>45415</v>
      </c>
      <c r="E273" s="9">
        <v>0.25</v>
      </c>
      <c r="F273" s="9">
        <v>0.25694444444444398</v>
      </c>
      <c r="H273" t="s">
        <v>28</v>
      </c>
      <c r="I273" s="2" t="s">
        <v>30</v>
      </c>
      <c r="J273" s="2" t="s">
        <v>31</v>
      </c>
      <c r="K273">
        <v>4</v>
      </c>
      <c r="L273">
        <v>1</v>
      </c>
      <c r="M273">
        <v>1</v>
      </c>
      <c r="N273">
        <v>3</v>
      </c>
      <c r="O273">
        <v>1</v>
      </c>
      <c r="P273">
        <v>1</v>
      </c>
    </row>
    <row r="274" spans="1:16" x14ac:dyDescent="0.3">
      <c r="A274" s="7" t="s">
        <v>262</v>
      </c>
      <c r="B274" t="s">
        <v>263</v>
      </c>
      <c r="C274" s="7" t="s">
        <v>249</v>
      </c>
      <c r="D274" s="1">
        <v>45415</v>
      </c>
      <c r="E274" s="9">
        <v>0.25</v>
      </c>
      <c r="F274" s="9">
        <v>0.25694444444444398</v>
      </c>
      <c r="H274" t="s">
        <v>28</v>
      </c>
      <c r="I274" s="2" t="s">
        <v>30</v>
      </c>
      <c r="J274" s="2" t="s">
        <v>31</v>
      </c>
      <c r="K274">
        <v>4</v>
      </c>
      <c r="L274">
        <v>1</v>
      </c>
      <c r="M274">
        <v>1</v>
      </c>
      <c r="N274">
        <v>3</v>
      </c>
      <c r="O274">
        <v>1</v>
      </c>
      <c r="P274">
        <v>1</v>
      </c>
    </row>
    <row r="275" spans="1:16" x14ac:dyDescent="0.3">
      <c r="A275" s="7" t="s">
        <v>252</v>
      </c>
      <c r="B275" t="s">
        <v>256</v>
      </c>
      <c r="C275" s="7" t="s">
        <v>249</v>
      </c>
      <c r="D275" s="1">
        <v>45415</v>
      </c>
      <c r="E275" s="9">
        <v>0.25</v>
      </c>
      <c r="F275" s="9">
        <v>0.25694444444444398</v>
      </c>
      <c r="H275" t="s">
        <v>28</v>
      </c>
      <c r="I275" s="2" t="s">
        <v>30</v>
      </c>
      <c r="J275" s="2" t="s">
        <v>31</v>
      </c>
      <c r="K275">
        <v>4</v>
      </c>
      <c r="L275">
        <v>1</v>
      </c>
      <c r="M275">
        <v>1</v>
      </c>
      <c r="N275">
        <v>3</v>
      </c>
      <c r="O275">
        <v>1</v>
      </c>
      <c r="P275">
        <v>1</v>
      </c>
    </row>
    <row r="276" spans="1:16" x14ac:dyDescent="0.3">
      <c r="A276" s="7" t="s">
        <v>251</v>
      </c>
      <c r="B276" t="s">
        <v>248</v>
      </c>
      <c r="C276" s="7" t="s">
        <v>249</v>
      </c>
      <c r="D276" s="1">
        <v>45415</v>
      </c>
      <c r="E276" s="9">
        <v>0.25</v>
      </c>
      <c r="F276" s="9">
        <v>0.25694444444444398</v>
      </c>
      <c r="H276" t="s">
        <v>28</v>
      </c>
      <c r="I276" s="2" t="s">
        <v>30</v>
      </c>
      <c r="J276" s="2" t="s">
        <v>31</v>
      </c>
      <c r="K276">
        <v>4</v>
      </c>
      <c r="L276">
        <v>1</v>
      </c>
      <c r="M276">
        <v>1</v>
      </c>
      <c r="N276">
        <v>3</v>
      </c>
      <c r="O276">
        <v>1</v>
      </c>
      <c r="P276">
        <v>1</v>
      </c>
    </row>
    <row r="277" spans="1:16" x14ac:dyDescent="0.3">
      <c r="A277" s="7" t="s">
        <v>250</v>
      </c>
      <c r="B277" t="s">
        <v>257</v>
      </c>
      <c r="C277" t="s">
        <v>249</v>
      </c>
      <c r="D277" s="1">
        <v>45416</v>
      </c>
      <c r="E277" s="17">
        <v>0.24930555555555556</v>
      </c>
      <c r="F277" s="17">
        <v>0.25624999999999998</v>
      </c>
      <c r="H277" t="s">
        <v>28</v>
      </c>
      <c r="I277" s="2" t="s">
        <v>30</v>
      </c>
      <c r="J277" s="2" t="s">
        <v>31</v>
      </c>
      <c r="K277">
        <v>3</v>
      </c>
      <c r="L277">
        <v>1</v>
      </c>
      <c r="M277">
        <v>1</v>
      </c>
      <c r="N277">
        <v>5</v>
      </c>
      <c r="O277">
        <v>4</v>
      </c>
      <c r="P277">
        <v>1</v>
      </c>
    </row>
    <row r="278" spans="1:16" x14ac:dyDescent="0.3">
      <c r="A278" s="7" t="s">
        <v>253</v>
      </c>
      <c r="B278" t="s">
        <v>255</v>
      </c>
      <c r="C278" t="s">
        <v>249</v>
      </c>
      <c r="D278" s="1">
        <v>45416</v>
      </c>
      <c r="E278" s="17">
        <v>0.24930555555555556</v>
      </c>
      <c r="F278" s="17">
        <v>0.25624999999999998</v>
      </c>
      <c r="H278" t="s">
        <v>28</v>
      </c>
      <c r="I278" s="2" t="s">
        <v>30</v>
      </c>
      <c r="J278" s="2" t="s">
        <v>31</v>
      </c>
      <c r="K278">
        <v>3</v>
      </c>
      <c r="L278">
        <v>1</v>
      </c>
      <c r="M278">
        <v>1</v>
      </c>
      <c r="N278">
        <v>5</v>
      </c>
      <c r="O278">
        <v>4</v>
      </c>
      <c r="P278">
        <v>1</v>
      </c>
    </row>
    <row r="279" spans="1:16" x14ac:dyDescent="0.3">
      <c r="A279" s="7" t="s">
        <v>252</v>
      </c>
      <c r="B279" t="s">
        <v>256</v>
      </c>
      <c r="C279" t="s">
        <v>249</v>
      </c>
      <c r="D279" s="1">
        <v>45416</v>
      </c>
      <c r="E279" s="17">
        <v>0.249305555555556</v>
      </c>
      <c r="F279" s="17">
        <v>0.25624999999999998</v>
      </c>
      <c r="H279" t="s">
        <v>28</v>
      </c>
      <c r="I279" s="2" t="s">
        <v>30</v>
      </c>
      <c r="J279" s="2" t="s">
        <v>31</v>
      </c>
      <c r="K279">
        <v>3</v>
      </c>
      <c r="L279">
        <v>1</v>
      </c>
      <c r="M279">
        <v>1</v>
      </c>
      <c r="N279">
        <v>5</v>
      </c>
      <c r="O279">
        <v>4</v>
      </c>
      <c r="P279">
        <v>1</v>
      </c>
    </row>
    <row r="280" spans="1:16" x14ac:dyDescent="0.3">
      <c r="A280" s="7" t="s">
        <v>251</v>
      </c>
      <c r="B280" t="s">
        <v>248</v>
      </c>
      <c r="C280" t="s">
        <v>249</v>
      </c>
      <c r="D280" s="1">
        <v>45416</v>
      </c>
      <c r="E280" s="17">
        <v>0.249305555555556</v>
      </c>
      <c r="F280" s="17">
        <v>0.25624999999999998</v>
      </c>
      <c r="H280" t="s">
        <v>28</v>
      </c>
      <c r="I280" s="2" t="s">
        <v>30</v>
      </c>
      <c r="J280" s="2" t="s">
        <v>31</v>
      </c>
      <c r="K280">
        <v>3</v>
      </c>
      <c r="L280">
        <v>1</v>
      </c>
      <c r="M280">
        <v>1</v>
      </c>
      <c r="N280">
        <v>5</v>
      </c>
      <c r="O280">
        <v>4</v>
      </c>
      <c r="P280">
        <v>1</v>
      </c>
    </row>
    <row r="281" spans="1:16" x14ac:dyDescent="0.3">
      <c r="A281" s="7" t="s">
        <v>275</v>
      </c>
      <c r="B281" t="s">
        <v>274</v>
      </c>
      <c r="C281" t="s">
        <v>249</v>
      </c>
      <c r="D281" s="1">
        <v>45416</v>
      </c>
      <c r="E281" s="17">
        <v>0.249305555555556</v>
      </c>
      <c r="F281" s="17">
        <v>0.25624999999999998</v>
      </c>
      <c r="H281" t="s">
        <v>28</v>
      </c>
      <c r="I281" s="2" t="s">
        <v>30</v>
      </c>
      <c r="J281" s="2" t="s">
        <v>31</v>
      </c>
      <c r="K281">
        <v>3</v>
      </c>
      <c r="L281">
        <v>1</v>
      </c>
      <c r="M281">
        <v>1</v>
      </c>
      <c r="N281">
        <v>5</v>
      </c>
      <c r="O281">
        <v>4</v>
      </c>
      <c r="P281">
        <v>1</v>
      </c>
    </row>
    <row r="282" spans="1:16" x14ac:dyDescent="0.3">
      <c r="A282" s="7" t="s">
        <v>262</v>
      </c>
      <c r="B282" t="s">
        <v>263</v>
      </c>
      <c r="C282" t="s">
        <v>249</v>
      </c>
      <c r="D282" s="1">
        <v>45416</v>
      </c>
      <c r="E282" s="17">
        <v>0.249305555555556</v>
      </c>
      <c r="F282" s="17">
        <v>0.25624999999999998</v>
      </c>
      <c r="H282" t="s">
        <v>28</v>
      </c>
      <c r="I282" s="2" t="s">
        <v>30</v>
      </c>
      <c r="J282" s="2" t="s">
        <v>31</v>
      </c>
      <c r="K282">
        <v>3</v>
      </c>
      <c r="L282">
        <v>1</v>
      </c>
      <c r="M282">
        <v>1</v>
      </c>
      <c r="N282">
        <v>5</v>
      </c>
      <c r="O282">
        <v>4</v>
      </c>
      <c r="P282">
        <v>1</v>
      </c>
    </row>
    <row r="283" spans="1:16" x14ac:dyDescent="0.3">
      <c r="A283" s="7" t="s">
        <v>260</v>
      </c>
      <c r="B283" t="s">
        <v>258</v>
      </c>
      <c r="C283" t="s">
        <v>249</v>
      </c>
      <c r="D283" s="1">
        <v>45416</v>
      </c>
      <c r="E283" s="17">
        <v>0.249305555555556</v>
      </c>
      <c r="F283" s="17">
        <v>0.25624999999999998</v>
      </c>
      <c r="H283" t="s">
        <v>28</v>
      </c>
      <c r="I283" s="2" t="s">
        <v>30</v>
      </c>
      <c r="J283" s="2" t="s">
        <v>31</v>
      </c>
      <c r="K283">
        <v>3</v>
      </c>
      <c r="L283">
        <v>1</v>
      </c>
      <c r="M283">
        <v>1</v>
      </c>
      <c r="N283">
        <v>5</v>
      </c>
      <c r="O283">
        <v>4</v>
      </c>
      <c r="P283">
        <v>1</v>
      </c>
    </row>
    <row r="284" spans="1:16" x14ac:dyDescent="0.3">
      <c r="A284" s="7" t="s">
        <v>253</v>
      </c>
      <c r="B284" t="s">
        <v>255</v>
      </c>
      <c r="C284" s="7" t="s">
        <v>249</v>
      </c>
      <c r="D284" s="1">
        <v>45415</v>
      </c>
      <c r="E284" s="9">
        <v>0.25</v>
      </c>
      <c r="F284" s="9">
        <v>0.25694444444444398</v>
      </c>
      <c r="H284" s="4" t="s">
        <v>154</v>
      </c>
      <c r="I284" s="5" t="s">
        <v>155</v>
      </c>
      <c r="J284" s="5" t="s">
        <v>156</v>
      </c>
      <c r="K284">
        <v>3</v>
      </c>
      <c r="L284">
        <v>1</v>
      </c>
      <c r="M284">
        <v>1</v>
      </c>
      <c r="N284">
        <v>3</v>
      </c>
      <c r="O284">
        <v>1</v>
      </c>
      <c r="P284">
        <v>1</v>
      </c>
    </row>
    <row r="285" spans="1:16" x14ac:dyDescent="0.3">
      <c r="A285" s="7" t="s">
        <v>250</v>
      </c>
      <c r="B285" t="s">
        <v>257</v>
      </c>
      <c r="C285" s="7" t="s">
        <v>249</v>
      </c>
      <c r="D285" s="1">
        <v>45415</v>
      </c>
      <c r="E285" s="9">
        <v>0.25</v>
      </c>
      <c r="F285" s="9">
        <v>0.25694444444444398</v>
      </c>
      <c r="G285" t="s">
        <v>283</v>
      </c>
      <c r="H285" s="4" t="s">
        <v>154</v>
      </c>
      <c r="I285" s="5" t="s">
        <v>155</v>
      </c>
      <c r="J285" s="5" t="s">
        <v>156</v>
      </c>
      <c r="K285">
        <v>3</v>
      </c>
      <c r="L285">
        <v>1</v>
      </c>
      <c r="M285">
        <v>1</v>
      </c>
      <c r="N285">
        <v>3</v>
      </c>
      <c r="O285">
        <v>1</v>
      </c>
      <c r="P285">
        <v>1</v>
      </c>
    </row>
    <row r="286" spans="1:16" x14ac:dyDescent="0.3">
      <c r="A286" s="7" t="s">
        <v>262</v>
      </c>
      <c r="B286" t="s">
        <v>263</v>
      </c>
      <c r="C286" s="7" t="s">
        <v>249</v>
      </c>
      <c r="D286" s="1">
        <v>45415</v>
      </c>
      <c r="E286" s="9">
        <v>0.25</v>
      </c>
      <c r="F286" s="9">
        <v>0.25694444444444398</v>
      </c>
      <c r="H286" s="4" t="s">
        <v>154</v>
      </c>
      <c r="I286" s="5" t="s">
        <v>155</v>
      </c>
      <c r="J286" s="5" t="s">
        <v>156</v>
      </c>
      <c r="K286">
        <v>3</v>
      </c>
      <c r="L286">
        <v>1</v>
      </c>
      <c r="M286">
        <v>1</v>
      </c>
      <c r="N286">
        <v>3</v>
      </c>
      <c r="O286">
        <v>1</v>
      </c>
      <c r="P286">
        <v>1</v>
      </c>
    </row>
    <row r="287" spans="1:16" x14ac:dyDescent="0.3">
      <c r="A287" s="7" t="s">
        <v>252</v>
      </c>
      <c r="B287" t="s">
        <v>256</v>
      </c>
      <c r="C287" s="7" t="s">
        <v>249</v>
      </c>
      <c r="D287" s="1">
        <v>45415</v>
      </c>
      <c r="E287" s="9">
        <v>0.25</v>
      </c>
      <c r="F287" s="9">
        <v>0.25694444444444398</v>
      </c>
      <c r="H287" s="4" t="s">
        <v>154</v>
      </c>
      <c r="I287" s="5" t="s">
        <v>155</v>
      </c>
      <c r="J287" s="5" t="s">
        <v>156</v>
      </c>
      <c r="K287">
        <v>3</v>
      </c>
      <c r="L287">
        <v>1</v>
      </c>
      <c r="M287">
        <v>1</v>
      </c>
      <c r="N287">
        <v>3</v>
      </c>
      <c r="O287">
        <v>1</v>
      </c>
      <c r="P287">
        <v>1</v>
      </c>
    </row>
    <row r="288" spans="1:16" x14ac:dyDescent="0.3">
      <c r="A288" s="7" t="s">
        <v>251</v>
      </c>
      <c r="B288" t="s">
        <v>248</v>
      </c>
      <c r="C288" s="7" t="s">
        <v>249</v>
      </c>
      <c r="D288" s="1">
        <v>45415</v>
      </c>
      <c r="E288" s="9">
        <v>0.25</v>
      </c>
      <c r="F288" s="9">
        <v>0.25694444444444398</v>
      </c>
      <c r="H288" s="4" t="s">
        <v>154</v>
      </c>
      <c r="I288" s="5" t="s">
        <v>155</v>
      </c>
      <c r="J288" s="5" t="s">
        <v>156</v>
      </c>
      <c r="K288">
        <v>3</v>
      </c>
      <c r="L288">
        <v>1</v>
      </c>
      <c r="M288">
        <v>1</v>
      </c>
      <c r="N288">
        <v>3</v>
      </c>
      <c r="O288">
        <v>1</v>
      </c>
      <c r="P288">
        <v>1</v>
      </c>
    </row>
    <row r="289" spans="1:16" x14ac:dyDescent="0.3">
      <c r="A289" s="7" t="s">
        <v>250</v>
      </c>
      <c r="B289" t="s">
        <v>257</v>
      </c>
      <c r="C289" t="s">
        <v>249</v>
      </c>
      <c r="D289" s="1">
        <v>45416</v>
      </c>
      <c r="E289" s="17">
        <v>0.25</v>
      </c>
      <c r="F289" s="17">
        <v>0.25694444444444442</v>
      </c>
      <c r="H289" s="4" t="s">
        <v>154</v>
      </c>
      <c r="I289" s="5" t="s">
        <v>155</v>
      </c>
      <c r="J289" s="5" t="s">
        <v>156</v>
      </c>
      <c r="K289">
        <v>3</v>
      </c>
      <c r="L289">
        <v>1</v>
      </c>
      <c r="M289">
        <v>1</v>
      </c>
      <c r="N289">
        <v>4</v>
      </c>
      <c r="O289">
        <v>1</v>
      </c>
      <c r="P289">
        <v>1</v>
      </c>
    </row>
    <row r="290" spans="1:16" x14ac:dyDescent="0.3">
      <c r="A290" s="7" t="s">
        <v>262</v>
      </c>
      <c r="B290" t="s">
        <v>263</v>
      </c>
      <c r="C290" t="s">
        <v>249</v>
      </c>
      <c r="D290" s="1">
        <v>45416</v>
      </c>
      <c r="E290" s="17">
        <v>0.25</v>
      </c>
      <c r="F290" s="17">
        <v>0.25694444444444442</v>
      </c>
      <c r="H290" s="4" t="s">
        <v>154</v>
      </c>
      <c r="I290" s="5" t="s">
        <v>155</v>
      </c>
      <c r="J290" s="5" t="s">
        <v>156</v>
      </c>
      <c r="K290">
        <v>3</v>
      </c>
      <c r="L290">
        <v>1</v>
      </c>
      <c r="M290">
        <v>1</v>
      </c>
      <c r="N290">
        <v>4</v>
      </c>
      <c r="O290">
        <v>1</v>
      </c>
      <c r="P290">
        <v>1</v>
      </c>
    </row>
    <row r="291" spans="1:16" x14ac:dyDescent="0.3">
      <c r="A291" s="7" t="s">
        <v>252</v>
      </c>
      <c r="B291" t="s">
        <v>256</v>
      </c>
      <c r="C291" t="s">
        <v>249</v>
      </c>
      <c r="D291" s="1">
        <v>45416</v>
      </c>
      <c r="E291" s="17">
        <v>0.25</v>
      </c>
      <c r="F291" s="17">
        <v>0.25694444444444398</v>
      </c>
      <c r="H291" s="4" t="s">
        <v>154</v>
      </c>
      <c r="I291" s="5" t="s">
        <v>155</v>
      </c>
      <c r="J291" s="5" t="s">
        <v>156</v>
      </c>
      <c r="K291">
        <v>3</v>
      </c>
      <c r="L291">
        <v>1</v>
      </c>
      <c r="M291">
        <v>1</v>
      </c>
      <c r="N291">
        <v>4</v>
      </c>
      <c r="O291">
        <v>1</v>
      </c>
      <c r="P291">
        <v>1</v>
      </c>
    </row>
    <row r="292" spans="1:16" x14ac:dyDescent="0.3">
      <c r="A292" s="7" t="s">
        <v>251</v>
      </c>
      <c r="B292" t="s">
        <v>248</v>
      </c>
      <c r="C292" t="s">
        <v>249</v>
      </c>
      <c r="D292" s="1">
        <v>45416</v>
      </c>
      <c r="E292" s="17">
        <v>0.25</v>
      </c>
      <c r="F292" s="17">
        <v>0.25694444444444398</v>
      </c>
      <c r="H292" s="4" t="s">
        <v>154</v>
      </c>
      <c r="I292" s="5" t="s">
        <v>155</v>
      </c>
      <c r="J292" s="5" t="s">
        <v>156</v>
      </c>
      <c r="K292">
        <v>3</v>
      </c>
      <c r="L292">
        <v>1</v>
      </c>
      <c r="M292">
        <v>1</v>
      </c>
      <c r="N292">
        <v>4</v>
      </c>
      <c r="O292">
        <v>1</v>
      </c>
      <c r="P292">
        <v>1</v>
      </c>
    </row>
    <row r="293" spans="1:16" x14ac:dyDescent="0.3">
      <c r="A293" s="7" t="s">
        <v>253</v>
      </c>
      <c r="B293" t="s">
        <v>255</v>
      </c>
      <c r="C293" t="s">
        <v>249</v>
      </c>
      <c r="D293" s="1">
        <v>45416</v>
      </c>
      <c r="E293" s="17">
        <v>0.25</v>
      </c>
      <c r="F293" s="17">
        <v>0.25694444444444398</v>
      </c>
      <c r="H293" s="4" t="s">
        <v>154</v>
      </c>
      <c r="I293" s="5" t="s">
        <v>155</v>
      </c>
      <c r="J293" s="5" t="s">
        <v>156</v>
      </c>
      <c r="K293">
        <v>3</v>
      </c>
      <c r="L293">
        <v>1</v>
      </c>
      <c r="M293">
        <v>1</v>
      </c>
      <c r="N293">
        <v>4</v>
      </c>
      <c r="O293">
        <v>1</v>
      </c>
      <c r="P293">
        <v>1</v>
      </c>
    </row>
    <row r="294" spans="1:16" x14ac:dyDescent="0.3">
      <c r="A294" s="7" t="s">
        <v>250</v>
      </c>
      <c r="B294" t="s">
        <v>257</v>
      </c>
      <c r="C294" s="7" t="s">
        <v>249</v>
      </c>
      <c r="D294" s="1">
        <v>45415</v>
      </c>
      <c r="E294" s="9">
        <v>0.25</v>
      </c>
      <c r="F294" s="9">
        <v>0.25694444444444398</v>
      </c>
      <c r="H294" t="s">
        <v>158</v>
      </c>
      <c r="I294" s="2" t="s">
        <v>159</v>
      </c>
      <c r="J294" s="2" t="s">
        <v>160</v>
      </c>
      <c r="K294">
        <v>2</v>
      </c>
      <c r="L294">
        <v>1</v>
      </c>
      <c r="M294">
        <v>1</v>
      </c>
      <c r="N294">
        <v>4</v>
      </c>
      <c r="O294">
        <v>1</v>
      </c>
      <c r="P294">
        <v>1</v>
      </c>
    </row>
    <row r="295" spans="1:16" x14ac:dyDescent="0.3">
      <c r="A295" s="7" t="s">
        <v>251</v>
      </c>
      <c r="B295" t="s">
        <v>248</v>
      </c>
      <c r="C295" s="7" t="s">
        <v>249</v>
      </c>
      <c r="D295" s="1">
        <v>45415</v>
      </c>
      <c r="E295" s="9">
        <v>0.25</v>
      </c>
      <c r="F295" s="9">
        <v>0.25694444444444398</v>
      </c>
      <c r="H295" t="s">
        <v>158</v>
      </c>
      <c r="I295" s="2" t="s">
        <v>159</v>
      </c>
      <c r="J295" s="2" t="s">
        <v>160</v>
      </c>
      <c r="K295">
        <v>2</v>
      </c>
      <c r="L295">
        <v>1</v>
      </c>
      <c r="M295">
        <v>1</v>
      </c>
      <c r="N295">
        <v>4</v>
      </c>
      <c r="O295">
        <v>1</v>
      </c>
      <c r="P295">
        <v>1</v>
      </c>
    </row>
    <row r="296" spans="1:16" x14ac:dyDescent="0.3">
      <c r="A296" s="7" t="s">
        <v>252</v>
      </c>
      <c r="B296" t="s">
        <v>256</v>
      </c>
      <c r="C296" s="7" t="s">
        <v>249</v>
      </c>
      <c r="D296" s="1">
        <v>45415</v>
      </c>
      <c r="E296" s="9">
        <v>0.25</v>
      </c>
      <c r="F296" s="9">
        <v>0.25694444444444398</v>
      </c>
      <c r="H296" t="s">
        <v>158</v>
      </c>
      <c r="I296" s="2" t="s">
        <v>159</v>
      </c>
      <c r="J296" s="2" t="s">
        <v>160</v>
      </c>
      <c r="K296">
        <v>2</v>
      </c>
      <c r="L296">
        <v>1</v>
      </c>
      <c r="M296">
        <v>1</v>
      </c>
      <c r="N296">
        <v>4</v>
      </c>
      <c r="O296">
        <v>1</v>
      </c>
      <c r="P296">
        <v>1</v>
      </c>
    </row>
    <row r="297" spans="1:16" x14ac:dyDescent="0.3">
      <c r="A297" s="7" t="s">
        <v>253</v>
      </c>
      <c r="B297" t="s">
        <v>255</v>
      </c>
      <c r="C297" s="7" t="s">
        <v>249</v>
      </c>
      <c r="D297" s="1">
        <v>45415</v>
      </c>
      <c r="E297" s="9">
        <v>0.25</v>
      </c>
      <c r="F297" s="9">
        <v>0.25694444444444398</v>
      </c>
      <c r="H297" t="s">
        <v>158</v>
      </c>
      <c r="I297" s="2" t="s">
        <v>159</v>
      </c>
      <c r="J297" s="2" t="s">
        <v>160</v>
      </c>
      <c r="K297">
        <v>2</v>
      </c>
      <c r="L297">
        <v>1</v>
      </c>
      <c r="M297">
        <v>1</v>
      </c>
      <c r="N297">
        <v>4</v>
      </c>
      <c r="O297">
        <v>1</v>
      </c>
      <c r="P297">
        <v>1</v>
      </c>
    </row>
    <row r="298" spans="1:16" x14ac:dyDescent="0.3">
      <c r="A298" s="7" t="s">
        <v>262</v>
      </c>
      <c r="B298" t="s">
        <v>263</v>
      </c>
      <c r="C298" s="7" t="s">
        <v>249</v>
      </c>
      <c r="D298" s="1">
        <v>45415</v>
      </c>
      <c r="E298" s="9">
        <v>0.25</v>
      </c>
      <c r="F298" s="9">
        <v>0.25694444444444398</v>
      </c>
      <c r="H298" t="s">
        <v>158</v>
      </c>
      <c r="I298" s="2" t="s">
        <v>159</v>
      </c>
      <c r="J298" s="2" t="s">
        <v>160</v>
      </c>
      <c r="K298">
        <v>2</v>
      </c>
      <c r="L298">
        <v>1</v>
      </c>
      <c r="M298">
        <v>1</v>
      </c>
      <c r="N298">
        <v>4</v>
      </c>
      <c r="O298">
        <v>1</v>
      </c>
      <c r="P298">
        <v>1</v>
      </c>
    </row>
    <row r="299" spans="1:16" x14ac:dyDescent="0.3">
      <c r="A299" s="7" t="s">
        <v>253</v>
      </c>
      <c r="B299" t="s">
        <v>255</v>
      </c>
      <c r="C299" t="s">
        <v>249</v>
      </c>
      <c r="D299" s="1">
        <v>45416</v>
      </c>
      <c r="E299" s="17">
        <v>0.25</v>
      </c>
      <c r="F299" s="17">
        <v>0.25694444444444398</v>
      </c>
      <c r="H299" t="s">
        <v>158</v>
      </c>
      <c r="I299" s="2" t="s">
        <v>159</v>
      </c>
      <c r="J299" s="2" t="s">
        <v>160</v>
      </c>
      <c r="K299">
        <v>3</v>
      </c>
      <c r="L299">
        <v>1</v>
      </c>
      <c r="M299">
        <v>1</v>
      </c>
      <c r="N299">
        <v>5</v>
      </c>
      <c r="O299">
        <v>1</v>
      </c>
      <c r="P299">
        <v>1</v>
      </c>
    </row>
    <row r="300" spans="1:16" x14ac:dyDescent="0.3">
      <c r="A300" s="7" t="s">
        <v>251</v>
      </c>
      <c r="B300" t="s">
        <v>248</v>
      </c>
      <c r="C300" t="s">
        <v>249</v>
      </c>
      <c r="D300" s="1">
        <v>45416</v>
      </c>
      <c r="E300" s="17">
        <v>0.25</v>
      </c>
      <c r="F300" s="17">
        <v>0.25694444444444398</v>
      </c>
      <c r="H300" t="s">
        <v>158</v>
      </c>
      <c r="I300" s="2" t="s">
        <v>159</v>
      </c>
      <c r="J300" s="2" t="s">
        <v>160</v>
      </c>
      <c r="K300">
        <v>3</v>
      </c>
      <c r="L300">
        <v>1</v>
      </c>
      <c r="M300">
        <v>1</v>
      </c>
      <c r="N300">
        <v>5</v>
      </c>
      <c r="O300">
        <v>1</v>
      </c>
      <c r="P300">
        <v>1</v>
      </c>
    </row>
    <row r="301" spans="1:16" x14ac:dyDescent="0.3">
      <c r="A301" s="7" t="s">
        <v>250</v>
      </c>
      <c r="B301" t="s">
        <v>257</v>
      </c>
      <c r="C301" t="s">
        <v>249</v>
      </c>
      <c r="D301" s="1">
        <v>45416</v>
      </c>
      <c r="E301" s="17">
        <v>0.25</v>
      </c>
      <c r="F301" s="17">
        <v>0.25694444444444398</v>
      </c>
      <c r="H301" t="s">
        <v>158</v>
      </c>
      <c r="I301" s="2" t="s">
        <v>159</v>
      </c>
      <c r="J301" s="2" t="s">
        <v>160</v>
      </c>
      <c r="K301">
        <v>3</v>
      </c>
      <c r="L301">
        <v>1</v>
      </c>
      <c r="M301">
        <v>1</v>
      </c>
      <c r="N301">
        <v>5</v>
      </c>
      <c r="O301">
        <v>1</v>
      </c>
      <c r="P301">
        <v>1</v>
      </c>
    </row>
    <row r="302" spans="1:16" x14ac:dyDescent="0.3">
      <c r="A302" s="7" t="s">
        <v>262</v>
      </c>
      <c r="B302" t="s">
        <v>263</v>
      </c>
      <c r="C302" t="s">
        <v>249</v>
      </c>
      <c r="D302" s="1">
        <v>45416</v>
      </c>
      <c r="E302" s="17">
        <v>0.25</v>
      </c>
      <c r="F302" s="17">
        <v>0.25694444444444398</v>
      </c>
      <c r="H302" t="s">
        <v>158</v>
      </c>
      <c r="I302" s="2" t="s">
        <v>159</v>
      </c>
      <c r="J302" s="2" t="s">
        <v>160</v>
      </c>
      <c r="K302">
        <v>3</v>
      </c>
      <c r="L302">
        <v>1</v>
      </c>
      <c r="M302">
        <v>1</v>
      </c>
      <c r="N302">
        <v>5</v>
      </c>
      <c r="O302">
        <v>1</v>
      </c>
      <c r="P302">
        <v>1</v>
      </c>
    </row>
    <row r="303" spans="1:16" x14ac:dyDescent="0.3">
      <c r="A303" s="7" t="s">
        <v>252</v>
      </c>
      <c r="B303" t="s">
        <v>256</v>
      </c>
      <c r="C303" t="s">
        <v>249</v>
      </c>
      <c r="D303" s="1">
        <v>45416</v>
      </c>
      <c r="E303" s="17">
        <v>0.25</v>
      </c>
      <c r="F303" s="17">
        <v>0.25694444444444398</v>
      </c>
      <c r="H303" t="s">
        <v>158</v>
      </c>
      <c r="I303" s="2" t="s">
        <v>159</v>
      </c>
      <c r="J303" s="2" t="s">
        <v>160</v>
      </c>
      <c r="K303">
        <v>3</v>
      </c>
      <c r="L303">
        <v>1</v>
      </c>
      <c r="M303">
        <v>1</v>
      </c>
      <c r="N303">
        <v>5</v>
      </c>
      <c r="O303">
        <v>1</v>
      </c>
      <c r="P303">
        <v>1</v>
      </c>
    </row>
    <row r="304" spans="1:16" x14ac:dyDescent="0.3">
      <c r="A304" s="7" t="s">
        <v>253</v>
      </c>
      <c r="B304" t="s">
        <v>255</v>
      </c>
      <c r="C304" s="7" t="s">
        <v>249</v>
      </c>
      <c r="D304" s="1">
        <v>45342</v>
      </c>
      <c r="E304" s="17">
        <v>0.24583333333333332</v>
      </c>
      <c r="F304" s="17">
        <v>0.25277777777777777</v>
      </c>
      <c r="H304" s="4" t="s">
        <v>163</v>
      </c>
      <c r="I304" s="5" t="s">
        <v>168</v>
      </c>
      <c r="J304" s="5" t="s">
        <v>169</v>
      </c>
      <c r="K304">
        <v>1</v>
      </c>
      <c r="L304">
        <v>1</v>
      </c>
      <c r="M304">
        <v>1</v>
      </c>
      <c r="N304">
        <v>3</v>
      </c>
      <c r="O304">
        <v>1</v>
      </c>
      <c r="P304">
        <v>1</v>
      </c>
    </row>
    <row r="305" spans="1:16" x14ac:dyDescent="0.3">
      <c r="A305" s="7" t="s">
        <v>275</v>
      </c>
      <c r="B305" t="s">
        <v>274</v>
      </c>
      <c r="C305" s="7" t="s">
        <v>249</v>
      </c>
      <c r="D305" s="1">
        <v>45342</v>
      </c>
      <c r="E305" s="17">
        <v>0.24583333333333332</v>
      </c>
      <c r="F305" s="17">
        <v>0.25277777777777777</v>
      </c>
      <c r="H305" s="4" t="s">
        <v>163</v>
      </c>
      <c r="I305" s="5" t="s">
        <v>168</v>
      </c>
      <c r="J305" s="5" t="s">
        <v>169</v>
      </c>
      <c r="K305">
        <v>1</v>
      </c>
      <c r="L305">
        <v>1</v>
      </c>
      <c r="M305">
        <v>1</v>
      </c>
      <c r="N305">
        <v>3</v>
      </c>
      <c r="O305">
        <v>1</v>
      </c>
      <c r="P305">
        <v>1</v>
      </c>
    </row>
    <row r="306" spans="1:16" x14ac:dyDescent="0.3">
      <c r="A306" s="7" t="s">
        <v>262</v>
      </c>
      <c r="B306" t="s">
        <v>263</v>
      </c>
      <c r="C306" s="7" t="s">
        <v>249</v>
      </c>
      <c r="D306" s="1">
        <v>45342</v>
      </c>
      <c r="E306" s="17">
        <v>0.24583333333333332</v>
      </c>
      <c r="F306" s="17">
        <v>0.25277777777777777</v>
      </c>
      <c r="H306" s="4" t="s">
        <v>163</v>
      </c>
      <c r="I306" s="5" t="s">
        <v>168</v>
      </c>
      <c r="J306" s="5" t="s">
        <v>169</v>
      </c>
      <c r="K306">
        <v>1</v>
      </c>
      <c r="L306">
        <v>1</v>
      </c>
      <c r="M306">
        <v>1</v>
      </c>
      <c r="N306">
        <v>3</v>
      </c>
      <c r="O306">
        <v>1</v>
      </c>
      <c r="P306">
        <v>1</v>
      </c>
    </row>
    <row r="307" spans="1:16" x14ac:dyDescent="0.3">
      <c r="A307" s="7" t="s">
        <v>275</v>
      </c>
      <c r="B307" t="s">
        <v>274</v>
      </c>
      <c r="C307" t="s">
        <v>249</v>
      </c>
      <c r="D307" s="1">
        <v>45343</v>
      </c>
      <c r="E307" s="17">
        <v>0.25277777777777777</v>
      </c>
      <c r="F307" s="17">
        <v>0.25972222222222224</v>
      </c>
      <c r="H307" s="4" t="s">
        <v>163</v>
      </c>
      <c r="I307" s="5" t="s">
        <v>168</v>
      </c>
      <c r="J307" s="5" t="s">
        <v>169</v>
      </c>
      <c r="K307">
        <v>1</v>
      </c>
      <c r="L307">
        <v>1</v>
      </c>
      <c r="M307">
        <v>2</v>
      </c>
      <c r="N307">
        <v>3</v>
      </c>
      <c r="O307">
        <v>1</v>
      </c>
      <c r="P307">
        <v>2</v>
      </c>
    </row>
    <row r="308" spans="1:16" x14ac:dyDescent="0.3">
      <c r="A308" s="7" t="s">
        <v>253</v>
      </c>
      <c r="B308" t="s">
        <v>255</v>
      </c>
      <c r="C308" t="s">
        <v>249</v>
      </c>
      <c r="D308" s="1">
        <v>45343</v>
      </c>
      <c r="E308" s="17">
        <v>0.25277777777777777</v>
      </c>
      <c r="F308" s="17">
        <v>0.25972222222222224</v>
      </c>
      <c r="H308" s="4" t="s">
        <v>163</v>
      </c>
      <c r="I308" s="5" t="s">
        <v>168</v>
      </c>
      <c r="J308" s="5" t="s">
        <v>169</v>
      </c>
      <c r="K308">
        <v>1</v>
      </c>
      <c r="L308">
        <v>1</v>
      </c>
      <c r="M308">
        <v>2</v>
      </c>
      <c r="N308">
        <v>3</v>
      </c>
      <c r="O308">
        <v>1</v>
      </c>
      <c r="P308">
        <v>2</v>
      </c>
    </row>
    <row r="309" spans="1:16" x14ac:dyDescent="0.3">
      <c r="A309" s="7" t="s">
        <v>252</v>
      </c>
      <c r="B309" t="s">
        <v>256</v>
      </c>
      <c r="C309" t="s">
        <v>249</v>
      </c>
      <c r="D309" s="1">
        <v>45343</v>
      </c>
      <c r="E309" s="17">
        <v>0.25277777777777777</v>
      </c>
      <c r="F309" s="17">
        <v>0.25972222222222224</v>
      </c>
      <c r="H309" s="4" t="s">
        <v>163</v>
      </c>
      <c r="I309" s="5" t="s">
        <v>168</v>
      </c>
      <c r="J309" s="5" t="s">
        <v>169</v>
      </c>
      <c r="K309">
        <v>1</v>
      </c>
      <c r="L309">
        <v>1</v>
      </c>
      <c r="M309">
        <v>2</v>
      </c>
      <c r="N309">
        <v>3</v>
      </c>
      <c r="O309">
        <v>1</v>
      </c>
      <c r="P309">
        <v>2</v>
      </c>
    </row>
    <row r="310" spans="1:16" x14ac:dyDescent="0.3">
      <c r="A310" s="7" t="s">
        <v>262</v>
      </c>
      <c r="B310" t="s">
        <v>263</v>
      </c>
      <c r="C310" t="s">
        <v>249</v>
      </c>
      <c r="D310" s="1">
        <v>45343</v>
      </c>
      <c r="E310" s="17">
        <v>0.25277777777777777</v>
      </c>
      <c r="F310" s="17">
        <v>0.25972222222222224</v>
      </c>
      <c r="H310" s="4" t="s">
        <v>163</v>
      </c>
      <c r="I310" s="5" t="s">
        <v>168</v>
      </c>
      <c r="J310" s="5" t="s">
        <v>169</v>
      </c>
      <c r="K310">
        <v>1</v>
      </c>
      <c r="L310">
        <v>1</v>
      </c>
      <c r="M310">
        <v>2</v>
      </c>
      <c r="N310">
        <v>3</v>
      </c>
      <c r="O310">
        <v>1</v>
      </c>
      <c r="P310">
        <v>2</v>
      </c>
    </row>
    <row r="311" spans="1:16" x14ac:dyDescent="0.3">
      <c r="A311" s="7" t="s">
        <v>275</v>
      </c>
      <c r="B311" t="s">
        <v>274</v>
      </c>
      <c r="C311" s="7" t="s">
        <v>249</v>
      </c>
      <c r="D311" s="1">
        <v>45342</v>
      </c>
      <c r="E311" s="17">
        <v>0.25</v>
      </c>
      <c r="F311" s="17">
        <v>0.25694444444444442</v>
      </c>
      <c r="H311" t="s">
        <v>164</v>
      </c>
      <c r="I311" s="2" t="s">
        <v>172</v>
      </c>
      <c r="J311" s="2" t="s">
        <v>173</v>
      </c>
      <c r="K311">
        <v>1</v>
      </c>
      <c r="L311">
        <v>1</v>
      </c>
      <c r="M311">
        <v>1</v>
      </c>
      <c r="N311">
        <v>4</v>
      </c>
      <c r="O311">
        <v>1</v>
      </c>
      <c r="P311">
        <v>1</v>
      </c>
    </row>
    <row r="312" spans="1:16" x14ac:dyDescent="0.3">
      <c r="A312" s="7" t="s">
        <v>253</v>
      </c>
      <c r="B312" t="s">
        <v>255</v>
      </c>
      <c r="C312" s="7" t="s">
        <v>249</v>
      </c>
      <c r="D312" s="1">
        <v>45342</v>
      </c>
      <c r="E312" s="17">
        <v>0.25</v>
      </c>
      <c r="F312" s="17">
        <v>0.25694444444444442</v>
      </c>
      <c r="H312" t="s">
        <v>164</v>
      </c>
      <c r="I312" s="2" t="s">
        <v>172</v>
      </c>
      <c r="J312" s="2" t="s">
        <v>173</v>
      </c>
      <c r="K312">
        <v>1</v>
      </c>
      <c r="L312">
        <v>1</v>
      </c>
      <c r="M312">
        <v>1</v>
      </c>
      <c r="N312">
        <v>4</v>
      </c>
      <c r="O312">
        <v>1</v>
      </c>
      <c r="P312">
        <v>1</v>
      </c>
    </row>
    <row r="313" spans="1:16" x14ac:dyDescent="0.3">
      <c r="A313" s="7" t="s">
        <v>262</v>
      </c>
      <c r="B313" t="s">
        <v>263</v>
      </c>
      <c r="C313" s="7" t="s">
        <v>249</v>
      </c>
      <c r="D313" s="1">
        <v>45342</v>
      </c>
      <c r="E313" s="17">
        <v>0.25</v>
      </c>
      <c r="F313" s="17">
        <v>0.25694444444444398</v>
      </c>
      <c r="H313" t="s">
        <v>164</v>
      </c>
      <c r="I313" s="2" t="s">
        <v>172</v>
      </c>
      <c r="J313" s="2" t="s">
        <v>173</v>
      </c>
      <c r="K313">
        <v>1</v>
      </c>
      <c r="L313">
        <v>1</v>
      </c>
      <c r="M313">
        <v>1</v>
      </c>
      <c r="N313">
        <v>4</v>
      </c>
      <c r="O313">
        <v>1</v>
      </c>
      <c r="P313">
        <v>1</v>
      </c>
    </row>
    <row r="314" spans="1:16" x14ac:dyDescent="0.3">
      <c r="A314" s="7" t="s">
        <v>250</v>
      </c>
      <c r="B314" t="s">
        <v>257</v>
      </c>
      <c r="C314" s="7" t="s">
        <v>249</v>
      </c>
      <c r="D314" s="1">
        <v>45342</v>
      </c>
      <c r="E314" s="17">
        <v>0.25</v>
      </c>
      <c r="F314" s="17">
        <v>0.25694444444444398</v>
      </c>
      <c r="H314" t="s">
        <v>164</v>
      </c>
      <c r="I314" s="2" t="s">
        <v>172</v>
      </c>
      <c r="J314" s="2" t="s">
        <v>173</v>
      </c>
      <c r="K314">
        <v>1</v>
      </c>
      <c r="L314">
        <v>1</v>
      </c>
      <c r="M314">
        <v>1</v>
      </c>
      <c r="N314">
        <v>4</v>
      </c>
      <c r="O314">
        <v>1</v>
      </c>
      <c r="P314">
        <v>1</v>
      </c>
    </row>
    <row r="315" spans="1:16" x14ac:dyDescent="0.3">
      <c r="A315" s="7" t="s">
        <v>270</v>
      </c>
      <c r="B315" t="s">
        <v>269</v>
      </c>
      <c r="C315" t="s">
        <v>264</v>
      </c>
      <c r="D315" s="1">
        <v>45343</v>
      </c>
      <c r="E315" s="17">
        <v>0.25</v>
      </c>
      <c r="F315" s="17">
        <v>0.25694444444444442</v>
      </c>
      <c r="H315" t="s">
        <v>164</v>
      </c>
      <c r="I315" s="2" t="s">
        <v>172</v>
      </c>
      <c r="J315" s="2" t="s">
        <v>173</v>
      </c>
      <c r="K315">
        <v>1</v>
      </c>
      <c r="L315">
        <v>1</v>
      </c>
      <c r="M315">
        <v>1</v>
      </c>
      <c r="N315">
        <v>4</v>
      </c>
      <c r="O315">
        <v>5</v>
      </c>
      <c r="P315">
        <v>1</v>
      </c>
    </row>
    <row r="316" spans="1:16" x14ac:dyDescent="0.3">
      <c r="A316" s="7" t="s">
        <v>253</v>
      </c>
      <c r="B316" t="s">
        <v>255</v>
      </c>
      <c r="C316" t="s">
        <v>249</v>
      </c>
      <c r="D316" s="1">
        <v>45343</v>
      </c>
      <c r="E316" s="17">
        <v>0.25</v>
      </c>
      <c r="F316" s="17">
        <v>0.25694444444444442</v>
      </c>
      <c r="H316" t="s">
        <v>164</v>
      </c>
      <c r="I316" s="2" t="s">
        <v>172</v>
      </c>
      <c r="J316" s="2" t="s">
        <v>173</v>
      </c>
      <c r="K316">
        <v>1</v>
      </c>
      <c r="L316">
        <v>1</v>
      </c>
      <c r="M316">
        <v>1</v>
      </c>
      <c r="N316">
        <v>4</v>
      </c>
      <c r="O316">
        <v>5</v>
      </c>
      <c r="P316">
        <v>1</v>
      </c>
    </row>
    <row r="317" spans="1:16" x14ac:dyDescent="0.3">
      <c r="A317" s="7" t="s">
        <v>262</v>
      </c>
      <c r="B317" t="s">
        <v>263</v>
      </c>
      <c r="C317" t="s">
        <v>249</v>
      </c>
      <c r="D317" s="1">
        <v>45343</v>
      </c>
      <c r="E317" s="17">
        <v>0.25</v>
      </c>
      <c r="F317" s="17">
        <v>0.25694444444444442</v>
      </c>
      <c r="H317" t="s">
        <v>164</v>
      </c>
      <c r="I317" s="2" t="s">
        <v>172</v>
      </c>
      <c r="J317" s="2" t="s">
        <v>173</v>
      </c>
      <c r="K317">
        <v>1</v>
      </c>
      <c r="L317">
        <v>1</v>
      </c>
      <c r="M317">
        <v>1</v>
      </c>
      <c r="N317">
        <v>4</v>
      </c>
      <c r="O317">
        <v>5</v>
      </c>
      <c r="P317">
        <v>1</v>
      </c>
    </row>
    <row r="318" spans="1:16" x14ac:dyDescent="0.3">
      <c r="A318" s="7" t="s">
        <v>275</v>
      </c>
      <c r="B318" t="s">
        <v>274</v>
      </c>
      <c r="C318" t="s">
        <v>249</v>
      </c>
      <c r="D318" s="1">
        <v>45343</v>
      </c>
      <c r="E318" s="17">
        <v>0.25</v>
      </c>
      <c r="F318" s="17">
        <v>0.25694444444444442</v>
      </c>
      <c r="H318" t="s">
        <v>164</v>
      </c>
      <c r="I318" s="2" t="s">
        <v>172</v>
      </c>
      <c r="J318" s="2" t="s">
        <v>173</v>
      </c>
      <c r="K318">
        <v>1</v>
      </c>
      <c r="L318">
        <v>1</v>
      </c>
      <c r="M318">
        <v>1</v>
      </c>
      <c r="N318">
        <v>4</v>
      </c>
      <c r="O318">
        <v>5</v>
      </c>
      <c r="P318">
        <v>1</v>
      </c>
    </row>
    <row r="319" spans="1:16" x14ac:dyDescent="0.3">
      <c r="A319" s="7" t="s">
        <v>260</v>
      </c>
      <c r="B319" t="s">
        <v>258</v>
      </c>
      <c r="C319" t="s">
        <v>249</v>
      </c>
      <c r="D319" s="1">
        <v>45343</v>
      </c>
      <c r="E319" s="17">
        <v>0.25</v>
      </c>
      <c r="F319" s="17">
        <v>0.25694444444444442</v>
      </c>
      <c r="H319" t="s">
        <v>164</v>
      </c>
      <c r="I319" s="2" t="s">
        <v>172</v>
      </c>
      <c r="J319" s="2" t="s">
        <v>173</v>
      </c>
      <c r="K319">
        <v>1</v>
      </c>
      <c r="L319">
        <v>1</v>
      </c>
      <c r="M319">
        <v>1</v>
      </c>
      <c r="N319">
        <v>4</v>
      </c>
      <c r="O319">
        <v>5</v>
      </c>
      <c r="P319">
        <v>1</v>
      </c>
    </row>
    <row r="320" spans="1:16" x14ac:dyDescent="0.3">
      <c r="A320" s="7" t="s">
        <v>252</v>
      </c>
      <c r="B320" t="s">
        <v>256</v>
      </c>
      <c r="C320" s="7" t="s">
        <v>249</v>
      </c>
      <c r="D320" s="1">
        <v>45342</v>
      </c>
      <c r="E320" s="17">
        <v>0.25</v>
      </c>
      <c r="F320" s="17">
        <v>0.25694444444444298</v>
      </c>
      <c r="H320" s="4" t="s">
        <v>165</v>
      </c>
      <c r="I320" s="5" t="s">
        <v>175</v>
      </c>
      <c r="J320" s="5" t="s">
        <v>176</v>
      </c>
      <c r="K320">
        <v>1</v>
      </c>
      <c r="L320">
        <v>1</v>
      </c>
      <c r="M320">
        <v>1</v>
      </c>
      <c r="N320">
        <v>5</v>
      </c>
      <c r="O320">
        <v>1</v>
      </c>
      <c r="P320">
        <v>1</v>
      </c>
    </row>
    <row r="321" spans="1:16" x14ac:dyDescent="0.3">
      <c r="A321" s="7" t="s">
        <v>250</v>
      </c>
      <c r="B321" t="s">
        <v>257</v>
      </c>
      <c r="C321" s="7" t="s">
        <v>249</v>
      </c>
      <c r="D321" s="1">
        <v>45342</v>
      </c>
      <c r="E321" s="17">
        <v>0.25</v>
      </c>
      <c r="F321" s="17">
        <v>0.25694444444444298</v>
      </c>
      <c r="H321" s="4" t="s">
        <v>165</v>
      </c>
      <c r="I321" s="5" t="s">
        <v>175</v>
      </c>
      <c r="J321" s="5" t="s">
        <v>176</v>
      </c>
      <c r="K321">
        <v>1</v>
      </c>
      <c r="L321">
        <v>1</v>
      </c>
      <c r="M321">
        <v>1</v>
      </c>
      <c r="N321">
        <v>5</v>
      </c>
      <c r="O321">
        <v>1</v>
      </c>
      <c r="P321">
        <v>1</v>
      </c>
    </row>
    <row r="322" spans="1:16" x14ac:dyDescent="0.3">
      <c r="A322" s="7" t="s">
        <v>275</v>
      </c>
      <c r="B322" t="s">
        <v>274</v>
      </c>
      <c r="C322" s="7" t="s">
        <v>249</v>
      </c>
      <c r="D322" s="1">
        <v>45342</v>
      </c>
      <c r="E322" s="17">
        <v>0.25</v>
      </c>
      <c r="F322" s="17">
        <v>0.25694444444444298</v>
      </c>
      <c r="G322" t="s">
        <v>284</v>
      </c>
      <c r="H322" s="4" t="s">
        <v>165</v>
      </c>
      <c r="I322" s="5" t="s">
        <v>175</v>
      </c>
      <c r="J322" s="5" t="s">
        <v>176</v>
      </c>
      <c r="K322">
        <v>1</v>
      </c>
      <c r="L322">
        <v>1</v>
      </c>
      <c r="M322">
        <v>1</v>
      </c>
      <c r="N322">
        <v>5</v>
      </c>
      <c r="O322">
        <v>1</v>
      </c>
      <c r="P322">
        <v>1</v>
      </c>
    </row>
    <row r="323" spans="1:16" x14ac:dyDescent="0.3">
      <c r="A323" s="7" t="s">
        <v>253</v>
      </c>
      <c r="B323" t="s">
        <v>255</v>
      </c>
      <c r="C323" s="7" t="s">
        <v>249</v>
      </c>
      <c r="D323" s="1">
        <v>45342</v>
      </c>
      <c r="E323" s="17">
        <v>0.25</v>
      </c>
      <c r="F323" s="17">
        <v>0.25694444444444298</v>
      </c>
      <c r="H323" s="4" t="s">
        <v>165</v>
      </c>
      <c r="I323" s="5" t="s">
        <v>175</v>
      </c>
      <c r="J323" s="5" t="s">
        <v>176</v>
      </c>
      <c r="K323">
        <v>1</v>
      </c>
      <c r="L323">
        <v>1</v>
      </c>
      <c r="M323">
        <v>1</v>
      </c>
      <c r="N323">
        <v>5</v>
      </c>
      <c r="O323">
        <v>1</v>
      </c>
      <c r="P323">
        <v>1</v>
      </c>
    </row>
    <row r="324" spans="1:16" x14ac:dyDescent="0.3">
      <c r="A324" s="7" t="s">
        <v>270</v>
      </c>
      <c r="B324" t="s">
        <v>269</v>
      </c>
      <c r="C324" s="7" t="s">
        <v>264</v>
      </c>
      <c r="D324" s="1">
        <v>45342</v>
      </c>
      <c r="E324" s="17">
        <v>0.25</v>
      </c>
      <c r="F324" s="17">
        <v>0.25694444444444298</v>
      </c>
      <c r="H324" s="4" t="s">
        <v>165</v>
      </c>
      <c r="I324" s="5" t="s">
        <v>175</v>
      </c>
      <c r="J324" s="5" t="s">
        <v>176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1</v>
      </c>
    </row>
    <row r="325" spans="1:16" x14ac:dyDescent="0.3">
      <c r="A325" s="7" t="s">
        <v>275</v>
      </c>
      <c r="B325" t="s">
        <v>274</v>
      </c>
      <c r="C325" t="s">
        <v>249</v>
      </c>
      <c r="D325" s="1">
        <v>45343</v>
      </c>
      <c r="E325" s="17">
        <v>0.25</v>
      </c>
      <c r="F325" s="17">
        <v>0.25694444444444398</v>
      </c>
      <c r="H325" s="4" t="s">
        <v>165</v>
      </c>
      <c r="I325" s="5" t="s">
        <v>175</v>
      </c>
      <c r="J325" s="5" t="s">
        <v>176</v>
      </c>
      <c r="K325">
        <v>1</v>
      </c>
      <c r="L325">
        <v>1</v>
      </c>
      <c r="M325">
        <v>1</v>
      </c>
      <c r="N325">
        <v>4</v>
      </c>
      <c r="O325">
        <v>1</v>
      </c>
      <c r="P325">
        <v>1</v>
      </c>
    </row>
    <row r="326" spans="1:16" x14ac:dyDescent="0.3">
      <c r="A326" s="7" t="s">
        <v>253</v>
      </c>
      <c r="B326" t="s">
        <v>255</v>
      </c>
      <c r="C326" t="s">
        <v>249</v>
      </c>
      <c r="D326" s="1">
        <v>45343</v>
      </c>
      <c r="E326" s="17">
        <v>0.25</v>
      </c>
      <c r="F326" s="17">
        <v>0.25694444444444398</v>
      </c>
      <c r="H326" s="4" t="s">
        <v>165</v>
      </c>
      <c r="I326" s="5" t="s">
        <v>175</v>
      </c>
      <c r="J326" s="5" t="s">
        <v>176</v>
      </c>
      <c r="K326">
        <v>1</v>
      </c>
      <c r="L326">
        <v>1</v>
      </c>
      <c r="M326">
        <v>1</v>
      </c>
      <c r="N326">
        <v>4</v>
      </c>
      <c r="O326">
        <v>1</v>
      </c>
      <c r="P326">
        <v>1</v>
      </c>
    </row>
    <row r="327" spans="1:16" x14ac:dyDescent="0.3">
      <c r="A327" s="7" t="s">
        <v>270</v>
      </c>
      <c r="B327" t="s">
        <v>269</v>
      </c>
      <c r="C327" t="s">
        <v>264</v>
      </c>
      <c r="D327" s="1">
        <v>45343</v>
      </c>
      <c r="E327" s="17">
        <v>0.25</v>
      </c>
      <c r="F327" s="17">
        <v>0.25694444444444398</v>
      </c>
      <c r="H327" s="4" t="s">
        <v>165</v>
      </c>
      <c r="I327" s="5" t="s">
        <v>175</v>
      </c>
      <c r="J327" s="5" t="s">
        <v>176</v>
      </c>
      <c r="K327">
        <v>1</v>
      </c>
      <c r="L327">
        <v>1</v>
      </c>
      <c r="M327">
        <v>1</v>
      </c>
      <c r="N327">
        <v>4</v>
      </c>
      <c r="O327">
        <v>1</v>
      </c>
      <c r="P327">
        <v>1</v>
      </c>
    </row>
    <row r="328" spans="1:16" x14ac:dyDescent="0.3">
      <c r="A328" s="7" t="s">
        <v>252</v>
      </c>
      <c r="B328" t="s">
        <v>256</v>
      </c>
      <c r="C328" s="7" t="s">
        <v>249</v>
      </c>
      <c r="D328" s="1">
        <v>45342</v>
      </c>
      <c r="E328" s="17">
        <v>0.25</v>
      </c>
      <c r="F328" s="17">
        <v>0.25694444444444298</v>
      </c>
      <c r="H328" t="s">
        <v>36</v>
      </c>
      <c r="I328" s="2" t="s">
        <v>38</v>
      </c>
      <c r="J328" s="2" t="s">
        <v>39</v>
      </c>
      <c r="K328">
        <v>1</v>
      </c>
      <c r="L328">
        <v>1</v>
      </c>
      <c r="M328">
        <v>1</v>
      </c>
      <c r="N328">
        <v>5</v>
      </c>
      <c r="O328">
        <v>1</v>
      </c>
      <c r="P328">
        <v>1</v>
      </c>
    </row>
    <row r="329" spans="1:16" x14ac:dyDescent="0.3">
      <c r="A329" s="7" t="s">
        <v>250</v>
      </c>
      <c r="B329" t="s">
        <v>257</v>
      </c>
      <c r="C329" s="7" t="s">
        <v>249</v>
      </c>
      <c r="D329" s="1">
        <v>45342</v>
      </c>
      <c r="E329" s="17">
        <v>0.25</v>
      </c>
      <c r="F329" s="17">
        <v>0.25694444444444298</v>
      </c>
      <c r="H329" t="s">
        <v>36</v>
      </c>
      <c r="I329" s="2" t="s">
        <v>38</v>
      </c>
      <c r="J329" s="2" t="s">
        <v>39</v>
      </c>
      <c r="K329">
        <v>1</v>
      </c>
      <c r="L329">
        <v>1</v>
      </c>
      <c r="M329">
        <v>1</v>
      </c>
      <c r="N329">
        <v>5</v>
      </c>
      <c r="O329">
        <v>1</v>
      </c>
      <c r="P329">
        <v>1</v>
      </c>
    </row>
    <row r="330" spans="1:16" x14ac:dyDescent="0.3">
      <c r="A330" s="7" t="s">
        <v>253</v>
      </c>
      <c r="B330" t="s">
        <v>255</v>
      </c>
      <c r="C330" s="7" t="s">
        <v>249</v>
      </c>
      <c r="D330" s="1">
        <v>45342</v>
      </c>
      <c r="E330" s="17">
        <v>0.25</v>
      </c>
      <c r="F330" s="17">
        <v>0.25694444444444298</v>
      </c>
      <c r="H330" t="s">
        <v>36</v>
      </c>
      <c r="I330" s="2" t="s">
        <v>38</v>
      </c>
      <c r="J330" s="2" t="s">
        <v>39</v>
      </c>
      <c r="K330">
        <v>1</v>
      </c>
      <c r="L330">
        <v>1</v>
      </c>
      <c r="M330">
        <v>1</v>
      </c>
      <c r="N330">
        <v>5</v>
      </c>
      <c r="O330">
        <v>1</v>
      </c>
      <c r="P330">
        <v>1</v>
      </c>
    </row>
    <row r="331" spans="1:16" x14ac:dyDescent="0.3">
      <c r="A331" s="7" t="s">
        <v>275</v>
      </c>
      <c r="B331" t="s">
        <v>274</v>
      </c>
      <c r="C331" s="7" t="s">
        <v>249</v>
      </c>
      <c r="D331" s="1">
        <v>45342</v>
      </c>
      <c r="E331" s="17">
        <v>0.25</v>
      </c>
      <c r="F331" s="17">
        <v>0.25694444444444298</v>
      </c>
      <c r="H331" t="s">
        <v>36</v>
      </c>
      <c r="I331" s="2" t="s">
        <v>38</v>
      </c>
      <c r="J331" s="2" t="s">
        <v>39</v>
      </c>
      <c r="K331">
        <v>1</v>
      </c>
      <c r="L331">
        <v>1</v>
      </c>
      <c r="M331">
        <v>1</v>
      </c>
      <c r="N331">
        <v>5</v>
      </c>
      <c r="O331">
        <v>1</v>
      </c>
      <c r="P331">
        <v>1</v>
      </c>
    </row>
    <row r="332" spans="1:16" x14ac:dyDescent="0.3">
      <c r="A332" s="7" t="s">
        <v>270</v>
      </c>
      <c r="B332" t="s">
        <v>269</v>
      </c>
      <c r="C332" t="s">
        <v>264</v>
      </c>
      <c r="D332" s="1">
        <v>45342</v>
      </c>
      <c r="E332" s="17">
        <v>0.25</v>
      </c>
      <c r="F332" s="17">
        <v>0.25694444444444298</v>
      </c>
      <c r="H332" t="s">
        <v>36</v>
      </c>
      <c r="I332" s="2" t="s">
        <v>38</v>
      </c>
      <c r="J332" s="2" t="s">
        <v>39</v>
      </c>
      <c r="K332">
        <v>1</v>
      </c>
      <c r="L332">
        <v>1</v>
      </c>
      <c r="M332">
        <v>1</v>
      </c>
      <c r="N332">
        <v>5</v>
      </c>
      <c r="O332">
        <v>1</v>
      </c>
      <c r="P332">
        <v>1</v>
      </c>
    </row>
    <row r="333" spans="1:16" x14ac:dyDescent="0.3">
      <c r="A333" s="7" t="s">
        <v>273</v>
      </c>
      <c r="B333" t="s">
        <v>272</v>
      </c>
      <c r="C333" s="7" t="s">
        <v>264</v>
      </c>
      <c r="D333" s="1">
        <v>45342</v>
      </c>
      <c r="E333" s="17">
        <v>0.25</v>
      </c>
      <c r="F333" s="17">
        <v>0.25694444444444298</v>
      </c>
      <c r="H333" t="s">
        <v>36</v>
      </c>
      <c r="I333" s="2" t="s">
        <v>38</v>
      </c>
      <c r="J333" s="2" t="s">
        <v>39</v>
      </c>
      <c r="K333">
        <v>1</v>
      </c>
      <c r="L333">
        <v>1</v>
      </c>
      <c r="M333">
        <v>1</v>
      </c>
      <c r="N333">
        <v>5</v>
      </c>
      <c r="O333">
        <v>1</v>
      </c>
      <c r="P333">
        <v>1</v>
      </c>
    </row>
    <row r="334" spans="1:16" x14ac:dyDescent="0.3">
      <c r="A334" s="7" t="s">
        <v>260</v>
      </c>
      <c r="B334" t="s">
        <v>258</v>
      </c>
      <c r="C334" s="7" t="s">
        <v>249</v>
      </c>
      <c r="D334" s="1">
        <v>45342</v>
      </c>
      <c r="E334" s="17">
        <v>0.25</v>
      </c>
      <c r="F334" s="17">
        <v>0.25694444444444298</v>
      </c>
      <c r="H334" t="s">
        <v>36</v>
      </c>
      <c r="I334" s="2" t="s">
        <v>38</v>
      </c>
      <c r="J334" s="2" t="s">
        <v>39</v>
      </c>
      <c r="K334">
        <v>1</v>
      </c>
      <c r="L334">
        <v>1</v>
      </c>
      <c r="M334">
        <v>1</v>
      </c>
      <c r="N334">
        <v>5</v>
      </c>
      <c r="O334">
        <v>1</v>
      </c>
      <c r="P334">
        <v>1</v>
      </c>
    </row>
    <row r="335" spans="1:16" x14ac:dyDescent="0.3">
      <c r="A335" s="7" t="s">
        <v>275</v>
      </c>
      <c r="B335" t="s">
        <v>274</v>
      </c>
      <c r="C335" t="s">
        <v>249</v>
      </c>
      <c r="D335" s="1">
        <v>45343</v>
      </c>
      <c r="E335" s="17">
        <v>0.25</v>
      </c>
      <c r="F335" s="17">
        <v>0.25694444444444398</v>
      </c>
      <c r="H335" t="s">
        <v>36</v>
      </c>
      <c r="I335" s="2" t="s">
        <v>38</v>
      </c>
      <c r="J335" s="2" t="s">
        <v>39</v>
      </c>
      <c r="K335">
        <v>1</v>
      </c>
      <c r="L335">
        <v>1</v>
      </c>
      <c r="M335">
        <v>1</v>
      </c>
      <c r="N335">
        <v>4</v>
      </c>
      <c r="O335">
        <v>1</v>
      </c>
      <c r="P335">
        <v>3</v>
      </c>
    </row>
    <row r="336" spans="1:16" x14ac:dyDescent="0.3">
      <c r="A336" s="7" t="s">
        <v>252</v>
      </c>
      <c r="B336" t="s">
        <v>256</v>
      </c>
      <c r="C336" t="s">
        <v>249</v>
      </c>
      <c r="D336" s="1">
        <v>45343</v>
      </c>
      <c r="E336" s="17">
        <v>0.25</v>
      </c>
      <c r="F336" s="17">
        <v>0.25694444444444398</v>
      </c>
      <c r="H336" t="s">
        <v>36</v>
      </c>
      <c r="I336" s="2" t="s">
        <v>38</v>
      </c>
      <c r="J336" s="2" t="s">
        <v>39</v>
      </c>
      <c r="K336">
        <v>1</v>
      </c>
      <c r="L336">
        <v>1</v>
      </c>
      <c r="M336">
        <v>1</v>
      </c>
      <c r="N336">
        <v>4</v>
      </c>
      <c r="O336">
        <v>1</v>
      </c>
      <c r="P336">
        <v>3</v>
      </c>
    </row>
    <row r="337" spans="1:16" x14ac:dyDescent="0.3">
      <c r="A337" s="7" t="s">
        <v>253</v>
      </c>
      <c r="B337" t="s">
        <v>255</v>
      </c>
      <c r="C337" t="s">
        <v>249</v>
      </c>
      <c r="D337" s="1">
        <v>45343</v>
      </c>
      <c r="E337" s="17">
        <v>0.25</v>
      </c>
      <c r="F337" s="17">
        <v>0.25694444444444398</v>
      </c>
      <c r="H337" t="s">
        <v>36</v>
      </c>
      <c r="I337" s="2" t="s">
        <v>38</v>
      </c>
      <c r="J337" s="2" t="s">
        <v>39</v>
      </c>
      <c r="K337">
        <v>1</v>
      </c>
      <c r="L337">
        <v>1</v>
      </c>
      <c r="M337">
        <v>1</v>
      </c>
      <c r="N337">
        <v>4</v>
      </c>
      <c r="O337">
        <v>1</v>
      </c>
      <c r="P337">
        <v>3</v>
      </c>
    </row>
    <row r="338" spans="1:16" x14ac:dyDescent="0.3">
      <c r="A338" s="7" t="s">
        <v>250</v>
      </c>
      <c r="B338" t="s">
        <v>257</v>
      </c>
      <c r="C338" t="s">
        <v>249</v>
      </c>
      <c r="D338" s="1">
        <v>45343</v>
      </c>
      <c r="E338" s="17">
        <v>0.25</v>
      </c>
      <c r="F338" s="17">
        <v>0.25694444444444398</v>
      </c>
      <c r="H338" t="s">
        <v>36</v>
      </c>
      <c r="I338" s="2" t="s">
        <v>38</v>
      </c>
      <c r="J338" s="2" t="s">
        <v>39</v>
      </c>
      <c r="K338">
        <v>1</v>
      </c>
      <c r="L338">
        <v>1</v>
      </c>
      <c r="M338">
        <v>1</v>
      </c>
      <c r="N338">
        <v>4</v>
      </c>
      <c r="O338">
        <v>1</v>
      </c>
      <c r="P338">
        <v>3</v>
      </c>
    </row>
    <row r="339" spans="1:16" x14ac:dyDescent="0.3">
      <c r="A339" s="7" t="s">
        <v>273</v>
      </c>
      <c r="B339" t="s">
        <v>272</v>
      </c>
      <c r="C339" t="s">
        <v>264</v>
      </c>
      <c r="D339" s="1">
        <v>45343</v>
      </c>
      <c r="E339" s="17">
        <v>0.25</v>
      </c>
      <c r="F339" s="17">
        <v>0.25694444444444398</v>
      </c>
      <c r="H339" t="s">
        <v>36</v>
      </c>
      <c r="I339" s="2" t="s">
        <v>38</v>
      </c>
      <c r="J339" s="2" t="s">
        <v>39</v>
      </c>
      <c r="K339">
        <v>1</v>
      </c>
      <c r="L339">
        <v>1</v>
      </c>
      <c r="M339">
        <v>1</v>
      </c>
      <c r="N339">
        <v>4</v>
      </c>
      <c r="O339">
        <v>1</v>
      </c>
      <c r="P339">
        <v>3</v>
      </c>
    </row>
    <row r="340" spans="1:16" x14ac:dyDescent="0.3">
      <c r="A340" s="7" t="s">
        <v>254</v>
      </c>
      <c r="B340" t="s">
        <v>259</v>
      </c>
      <c r="C340" t="s">
        <v>249</v>
      </c>
      <c r="D340" s="1">
        <v>45343</v>
      </c>
      <c r="E340" s="17">
        <v>0.25</v>
      </c>
      <c r="F340" s="17">
        <v>0.25694444444444398</v>
      </c>
      <c r="H340" t="s">
        <v>36</v>
      </c>
      <c r="I340" s="2" t="s">
        <v>38</v>
      </c>
      <c r="J340" s="2" t="s">
        <v>39</v>
      </c>
      <c r="K340">
        <v>1</v>
      </c>
      <c r="L340">
        <v>1</v>
      </c>
      <c r="M340">
        <v>1</v>
      </c>
      <c r="N340">
        <v>4</v>
      </c>
      <c r="O340">
        <v>1</v>
      </c>
      <c r="P340">
        <v>3</v>
      </c>
    </row>
    <row r="341" spans="1:16" x14ac:dyDescent="0.3">
      <c r="A341" s="7" t="s">
        <v>262</v>
      </c>
      <c r="B341" t="s">
        <v>263</v>
      </c>
      <c r="C341" t="s">
        <v>249</v>
      </c>
      <c r="D341" s="1">
        <v>45343</v>
      </c>
      <c r="E341" s="17">
        <v>0.25</v>
      </c>
      <c r="F341" s="17">
        <v>0.25694444444444398</v>
      </c>
      <c r="H341" t="s">
        <v>36</v>
      </c>
      <c r="I341" s="2" t="s">
        <v>38</v>
      </c>
      <c r="J341" s="2" t="s">
        <v>39</v>
      </c>
      <c r="K341">
        <v>1</v>
      </c>
      <c r="L341">
        <v>1</v>
      </c>
      <c r="M341">
        <v>1</v>
      </c>
      <c r="N341">
        <v>4</v>
      </c>
      <c r="O341">
        <v>1</v>
      </c>
      <c r="P341">
        <v>3</v>
      </c>
    </row>
    <row r="342" spans="1:16" x14ac:dyDescent="0.3">
      <c r="A342" s="7" t="s">
        <v>260</v>
      </c>
      <c r="B342" t="s">
        <v>258</v>
      </c>
      <c r="C342" t="s">
        <v>249</v>
      </c>
      <c r="D342" s="1">
        <v>45343</v>
      </c>
      <c r="E342" s="17">
        <v>0.25</v>
      </c>
      <c r="F342" s="17">
        <v>0.25694444444444398</v>
      </c>
      <c r="H342" t="s">
        <v>36</v>
      </c>
      <c r="I342" s="2" t="s">
        <v>38</v>
      </c>
      <c r="J342" s="2" t="s">
        <v>39</v>
      </c>
      <c r="K342">
        <v>1</v>
      </c>
      <c r="L342">
        <v>1</v>
      </c>
      <c r="M342">
        <v>1</v>
      </c>
      <c r="N342">
        <v>4</v>
      </c>
      <c r="O342">
        <v>1</v>
      </c>
      <c r="P342">
        <v>3</v>
      </c>
    </row>
    <row r="343" spans="1:16" x14ac:dyDescent="0.3">
      <c r="A343" s="7" t="s">
        <v>250</v>
      </c>
      <c r="B343" t="s">
        <v>257</v>
      </c>
      <c r="C343" s="7" t="s">
        <v>249</v>
      </c>
      <c r="D343" s="1">
        <v>45342</v>
      </c>
      <c r="E343" s="17">
        <v>0.25138888888888888</v>
      </c>
      <c r="F343" s="17">
        <v>0.25833333333333336</v>
      </c>
      <c r="H343" s="4" t="s">
        <v>166</v>
      </c>
      <c r="I343" s="5" t="s">
        <v>178</v>
      </c>
      <c r="J343" s="5" t="s">
        <v>179</v>
      </c>
      <c r="K343">
        <v>1</v>
      </c>
      <c r="L343">
        <v>1</v>
      </c>
      <c r="M343">
        <v>1</v>
      </c>
      <c r="N343">
        <v>4</v>
      </c>
      <c r="O343">
        <v>1</v>
      </c>
      <c r="P343">
        <v>1</v>
      </c>
    </row>
    <row r="344" spans="1:16" x14ac:dyDescent="0.3">
      <c r="A344" s="7" t="s">
        <v>253</v>
      </c>
      <c r="B344" t="s">
        <v>255</v>
      </c>
      <c r="C344" s="7" t="s">
        <v>249</v>
      </c>
      <c r="D344" s="1">
        <v>45342</v>
      </c>
      <c r="E344" s="17">
        <v>0.25138888888888888</v>
      </c>
      <c r="F344" s="17">
        <v>0.25833333333333336</v>
      </c>
      <c r="H344" s="4" t="s">
        <v>166</v>
      </c>
      <c r="I344" s="5" t="s">
        <v>178</v>
      </c>
      <c r="J344" s="5" t="s">
        <v>179</v>
      </c>
      <c r="K344">
        <v>1</v>
      </c>
      <c r="L344">
        <v>1</v>
      </c>
      <c r="M344">
        <v>1</v>
      </c>
      <c r="N344">
        <v>4</v>
      </c>
      <c r="O344">
        <v>1</v>
      </c>
      <c r="P344">
        <v>1</v>
      </c>
    </row>
    <row r="345" spans="1:16" x14ac:dyDescent="0.3">
      <c r="A345" s="7" t="s">
        <v>252</v>
      </c>
      <c r="B345" t="s">
        <v>256</v>
      </c>
      <c r="C345" s="7" t="s">
        <v>249</v>
      </c>
      <c r="D345" s="1">
        <v>45342</v>
      </c>
      <c r="E345" s="17">
        <v>0.25138888888888899</v>
      </c>
      <c r="F345" s="17">
        <v>0.25833333333333303</v>
      </c>
      <c r="H345" s="4" t="s">
        <v>166</v>
      </c>
      <c r="I345" s="5" t="s">
        <v>178</v>
      </c>
      <c r="J345" s="5" t="s">
        <v>179</v>
      </c>
      <c r="K345">
        <v>1</v>
      </c>
      <c r="L345">
        <v>1</v>
      </c>
      <c r="M345">
        <v>1</v>
      </c>
      <c r="N345">
        <v>4</v>
      </c>
      <c r="O345">
        <v>1</v>
      </c>
      <c r="P345">
        <v>1</v>
      </c>
    </row>
    <row r="346" spans="1:16" x14ac:dyDescent="0.3">
      <c r="A346" s="7" t="s">
        <v>275</v>
      </c>
      <c r="B346" t="s">
        <v>274</v>
      </c>
      <c r="C346" s="7" t="s">
        <v>249</v>
      </c>
      <c r="D346" s="1">
        <v>45342</v>
      </c>
      <c r="E346" s="17">
        <v>0.25138888888888899</v>
      </c>
      <c r="F346" s="17">
        <v>0.25833333333333303</v>
      </c>
      <c r="H346" s="4" t="s">
        <v>166</v>
      </c>
      <c r="I346" s="5" t="s">
        <v>178</v>
      </c>
      <c r="J346" s="5" t="s">
        <v>179</v>
      </c>
      <c r="K346">
        <v>1</v>
      </c>
      <c r="L346">
        <v>1</v>
      </c>
      <c r="M346">
        <v>1</v>
      </c>
      <c r="N346">
        <v>4</v>
      </c>
      <c r="O346">
        <v>1</v>
      </c>
      <c r="P346">
        <v>1</v>
      </c>
    </row>
    <row r="347" spans="1:16" x14ac:dyDescent="0.3">
      <c r="A347" s="7" t="s">
        <v>273</v>
      </c>
      <c r="B347" t="s">
        <v>272</v>
      </c>
      <c r="C347" s="7" t="s">
        <v>264</v>
      </c>
      <c r="D347" s="1">
        <v>45342</v>
      </c>
      <c r="E347" s="17">
        <v>0.25138888888888899</v>
      </c>
      <c r="F347" s="17">
        <v>0.25833333333333303</v>
      </c>
      <c r="H347" s="4" t="s">
        <v>166</v>
      </c>
      <c r="I347" s="5" t="s">
        <v>178</v>
      </c>
      <c r="J347" s="5" t="s">
        <v>179</v>
      </c>
      <c r="K347">
        <v>1</v>
      </c>
      <c r="L347">
        <v>1</v>
      </c>
      <c r="M347">
        <v>1</v>
      </c>
      <c r="N347">
        <v>4</v>
      </c>
      <c r="O347">
        <v>1</v>
      </c>
      <c r="P347">
        <v>1</v>
      </c>
    </row>
    <row r="348" spans="1:16" x14ac:dyDescent="0.3">
      <c r="A348" s="7" t="s">
        <v>262</v>
      </c>
      <c r="B348" t="s">
        <v>263</v>
      </c>
      <c r="C348" s="7" t="s">
        <v>249</v>
      </c>
      <c r="D348" s="1">
        <v>45342</v>
      </c>
      <c r="E348" s="17">
        <v>0.25138888888888899</v>
      </c>
      <c r="F348" s="17">
        <v>0.25833333333333303</v>
      </c>
      <c r="H348" s="4" t="s">
        <v>166</v>
      </c>
      <c r="I348" s="5" t="s">
        <v>178</v>
      </c>
      <c r="J348" s="5" t="s">
        <v>179</v>
      </c>
      <c r="K348">
        <v>1</v>
      </c>
      <c r="L348">
        <v>1</v>
      </c>
      <c r="M348">
        <v>1</v>
      </c>
      <c r="N348">
        <v>4</v>
      </c>
      <c r="O348">
        <v>1</v>
      </c>
      <c r="P348">
        <v>1</v>
      </c>
    </row>
    <row r="349" spans="1:16" x14ac:dyDescent="0.3">
      <c r="A349" s="7" t="s">
        <v>251</v>
      </c>
      <c r="B349" t="s">
        <v>248</v>
      </c>
      <c r="C349" s="7" t="s">
        <v>249</v>
      </c>
      <c r="D349" s="1">
        <v>45342</v>
      </c>
      <c r="E349" s="17">
        <v>0.25138888888888899</v>
      </c>
      <c r="F349" s="17">
        <v>0.25833333333333303</v>
      </c>
      <c r="H349" s="4" t="s">
        <v>166</v>
      </c>
      <c r="I349" s="5" t="s">
        <v>178</v>
      </c>
      <c r="J349" s="5" t="s">
        <v>179</v>
      </c>
      <c r="K349">
        <v>1</v>
      </c>
      <c r="L349">
        <v>1</v>
      </c>
      <c r="M349">
        <v>1</v>
      </c>
      <c r="N349">
        <v>4</v>
      </c>
      <c r="O349">
        <v>1</v>
      </c>
      <c r="P349">
        <v>1</v>
      </c>
    </row>
    <row r="350" spans="1:16" x14ac:dyDescent="0.3">
      <c r="A350" s="7" t="s">
        <v>270</v>
      </c>
      <c r="B350" t="s">
        <v>269</v>
      </c>
      <c r="C350" s="7" t="s">
        <v>264</v>
      </c>
      <c r="D350" s="1">
        <v>45342</v>
      </c>
      <c r="E350" s="17">
        <v>0.25138888888888899</v>
      </c>
      <c r="F350" s="17">
        <v>0.25833333333333303</v>
      </c>
      <c r="H350" s="4" t="s">
        <v>166</v>
      </c>
      <c r="I350" s="5" t="s">
        <v>178</v>
      </c>
      <c r="J350" s="5" t="s">
        <v>179</v>
      </c>
      <c r="K350">
        <v>1</v>
      </c>
      <c r="L350">
        <v>1</v>
      </c>
      <c r="M350">
        <v>1</v>
      </c>
      <c r="N350">
        <v>4</v>
      </c>
      <c r="O350">
        <v>1</v>
      </c>
      <c r="P350">
        <v>1</v>
      </c>
    </row>
    <row r="351" spans="1:16" x14ac:dyDescent="0.3">
      <c r="A351" s="7" t="s">
        <v>250</v>
      </c>
      <c r="B351" t="s">
        <v>257</v>
      </c>
      <c r="C351" t="s">
        <v>249</v>
      </c>
      <c r="D351" s="1">
        <v>45343</v>
      </c>
      <c r="E351" s="17">
        <v>0.25138888888888888</v>
      </c>
      <c r="F351" s="17">
        <v>0.25833333333333336</v>
      </c>
      <c r="H351" s="4" t="s">
        <v>166</v>
      </c>
      <c r="I351" s="5" t="s">
        <v>178</v>
      </c>
      <c r="J351" s="5" t="s">
        <v>179</v>
      </c>
      <c r="K351">
        <v>2</v>
      </c>
      <c r="L351">
        <v>1</v>
      </c>
      <c r="M351">
        <v>2</v>
      </c>
      <c r="N351">
        <v>4</v>
      </c>
      <c r="O351">
        <v>1</v>
      </c>
      <c r="P351">
        <v>5</v>
      </c>
    </row>
    <row r="352" spans="1:16" x14ac:dyDescent="0.3">
      <c r="A352" s="7" t="s">
        <v>253</v>
      </c>
      <c r="B352" t="s">
        <v>255</v>
      </c>
      <c r="C352" t="s">
        <v>249</v>
      </c>
      <c r="D352" s="1">
        <v>45343</v>
      </c>
      <c r="E352" s="17">
        <v>0.25138888888888888</v>
      </c>
      <c r="F352" s="17">
        <v>0.25833333333333336</v>
      </c>
      <c r="H352" s="4" t="s">
        <v>166</v>
      </c>
      <c r="I352" s="5" t="s">
        <v>178</v>
      </c>
      <c r="J352" s="5" t="s">
        <v>179</v>
      </c>
      <c r="K352">
        <v>2</v>
      </c>
      <c r="L352">
        <v>1</v>
      </c>
      <c r="M352">
        <v>2</v>
      </c>
      <c r="N352">
        <v>4</v>
      </c>
      <c r="O352">
        <v>1</v>
      </c>
      <c r="P352">
        <v>5</v>
      </c>
    </row>
    <row r="353" spans="1:16" x14ac:dyDescent="0.3">
      <c r="A353" s="7" t="s">
        <v>252</v>
      </c>
      <c r="B353" t="s">
        <v>256</v>
      </c>
      <c r="C353" t="s">
        <v>249</v>
      </c>
      <c r="D353" s="1">
        <v>45343</v>
      </c>
      <c r="E353" s="17">
        <v>0.25138888888888899</v>
      </c>
      <c r="F353" s="17">
        <v>0.25833333333333303</v>
      </c>
      <c r="H353" s="4" t="s">
        <v>166</v>
      </c>
      <c r="I353" s="5" t="s">
        <v>178</v>
      </c>
      <c r="J353" s="5" t="s">
        <v>179</v>
      </c>
      <c r="K353">
        <v>2</v>
      </c>
      <c r="L353">
        <v>1</v>
      </c>
      <c r="M353">
        <v>2</v>
      </c>
      <c r="N353">
        <v>4</v>
      </c>
      <c r="O353">
        <v>1</v>
      </c>
      <c r="P353">
        <v>5</v>
      </c>
    </row>
    <row r="354" spans="1:16" x14ac:dyDescent="0.3">
      <c r="A354" s="7" t="s">
        <v>275</v>
      </c>
      <c r="B354" t="s">
        <v>274</v>
      </c>
      <c r="C354" t="s">
        <v>249</v>
      </c>
      <c r="D354" s="1">
        <v>45343</v>
      </c>
      <c r="E354" s="17">
        <v>0.25138888888888899</v>
      </c>
      <c r="F354" s="17">
        <v>0.25833333333333303</v>
      </c>
      <c r="H354" s="4" t="s">
        <v>166</v>
      </c>
      <c r="I354" s="5" t="s">
        <v>178</v>
      </c>
      <c r="J354" s="5" t="s">
        <v>179</v>
      </c>
      <c r="K354">
        <v>2</v>
      </c>
      <c r="L354">
        <v>1</v>
      </c>
      <c r="M354">
        <v>2</v>
      </c>
      <c r="N354">
        <v>4</v>
      </c>
      <c r="O354">
        <v>1</v>
      </c>
      <c r="P354">
        <v>5</v>
      </c>
    </row>
    <row r="355" spans="1:16" x14ac:dyDescent="0.3">
      <c r="A355" s="7" t="s">
        <v>260</v>
      </c>
      <c r="B355" t="s">
        <v>258</v>
      </c>
      <c r="C355" t="s">
        <v>249</v>
      </c>
      <c r="D355" s="1">
        <v>45343</v>
      </c>
      <c r="E355" s="17">
        <v>0.25138888888888899</v>
      </c>
      <c r="F355" s="17">
        <v>0.25833333333333303</v>
      </c>
      <c r="H355" s="4" t="s">
        <v>166</v>
      </c>
      <c r="I355" s="5" t="s">
        <v>178</v>
      </c>
      <c r="J355" s="5" t="s">
        <v>179</v>
      </c>
      <c r="K355">
        <v>2</v>
      </c>
      <c r="L355">
        <v>1</v>
      </c>
      <c r="M355">
        <v>2</v>
      </c>
      <c r="N355">
        <v>4</v>
      </c>
      <c r="O355">
        <v>1</v>
      </c>
      <c r="P355">
        <v>5</v>
      </c>
    </row>
    <row r="356" spans="1:16" x14ac:dyDescent="0.3">
      <c r="A356" s="7" t="s">
        <v>252</v>
      </c>
      <c r="B356" t="s">
        <v>256</v>
      </c>
      <c r="C356" s="7" t="s">
        <v>249</v>
      </c>
      <c r="D356" s="1">
        <v>45342</v>
      </c>
      <c r="E356" s="17">
        <v>0.25</v>
      </c>
      <c r="F356" s="17">
        <v>0.25694444444444442</v>
      </c>
      <c r="H356" t="s">
        <v>167</v>
      </c>
      <c r="I356" s="2" t="s">
        <v>181</v>
      </c>
      <c r="J356" s="2" t="s">
        <v>182</v>
      </c>
      <c r="K356">
        <v>1</v>
      </c>
      <c r="L356">
        <v>1</v>
      </c>
      <c r="M356">
        <v>1</v>
      </c>
      <c r="N356">
        <v>5</v>
      </c>
      <c r="O356">
        <v>1</v>
      </c>
      <c r="P356">
        <v>2</v>
      </c>
    </row>
    <row r="357" spans="1:16" x14ac:dyDescent="0.3">
      <c r="A357" s="7" t="s">
        <v>250</v>
      </c>
      <c r="B357" t="s">
        <v>257</v>
      </c>
      <c r="C357" s="7" t="s">
        <v>249</v>
      </c>
      <c r="D357" s="1">
        <v>45342</v>
      </c>
      <c r="E357" s="17">
        <v>0.25</v>
      </c>
      <c r="F357" s="17">
        <v>0.25694444444444442</v>
      </c>
      <c r="H357" t="s">
        <v>167</v>
      </c>
      <c r="I357" s="2" t="s">
        <v>181</v>
      </c>
      <c r="J357" s="2" t="s">
        <v>182</v>
      </c>
      <c r="K357">
        <v>1</v>
      </c>
      <c r="L357">
        <v>1</v>
      </c>
      <c r="M357">
        <v>1</v>
      </c>
      <c r="N357">
        <v>5</v>
      </c>
      <c r="O357">
        <v>1</v>
      </c>
      <c r="P357">
        <v>2</v>
      </c>
    </row>
    <row r="358" spans="1:16" x14ac:dyDescent="0.3">
      <c r="A358" s="7" t="s">
        <v>251</v>
      </c>
      <c r="B358" t="s">
        <v>248</v>
      </c>
      <c r="C358" s="7" t="s">
        <v>249</v>
      </c>
      <c r="D358" s="1">
        <v>45342</v>
      </c>
      <c r="E358" s="17">
        <v>0.25</v>
      </c>
      <c r="F358" s="17">
        <v>0.25694444444444398</v>
      </c>
      <c r="H358" t="s">
        <v>167</v>
      </c>
      <c r="I358" s="2" t="s">
        <v>181</v>
      </c>
      <c r="J358" s="2" t="s">
        <v>182</v>
      </c>
      <c r="K358">
        <v>1</v>
      </c>
      <c r="L358">
        <v>1</v>
      </c>
      <c r="M358">
        <v>1</v>
      </c>
      <c r="N358">
        <v>5</v>
      </c>
      <c r="O358">
        <v>1</v>
      </c>
      <c r="P358">
        <v>2</v>
      </c>
    </row>
    <row r="359" spans="1:16" x14ac:dyDescent="0.3">
      <c r="A359" s="7" t="s">
        <v>275</v>
      </c>
      <c r="B359" t="s">
        <v>274</v>
      </c>
      <c r="C359" s="7" t="s">
        <v>249</v>
      </c>
      <c r="D359" s="1">
        <v>45342</v>
      </c>
      <c r="E359" s="17">
        <v>0.25</v>
      </c>
      <c r="F359" s="17">
        <v>0.25694444444444398</v>
      </c>
      <c r="H359" t="s">
        <v>167</v>
      </c>
      <c r="I359" s="2" t="s">
        <v>181</v>
      </c>
      <c r="J359" s="2" t="s">
        <v>182</v>
      </c>
      <c r="K359">
        <v>1</v>
      </c>
      <c r="L359">
        <v>1</v>
      </c>
      <c r="M359">
        <v>1</v>
      </c>
      <c r="N359">
        <v>5</v>
      </c>
      <c r="O359">
        <v>1</v>
      </c>
      <c r="P359">
        <v>2</v>
      </c>
    </row>
    <row r="360" spans="1:16" x14ac:dyDescent="0.3">
      <c r="A360" s="7" t="s">
        <v>253</v>
      </c>
      <c r="B360" t="s">
        <v>255</v>
      </c>
      <c r="C360" s="7" t="s">
        <v>249</v>
      </c>
      <c r="D360" s="1">
        <v>45342</v>
      </c>
      <c r="E360" s="17">
        <v>0.25</v>
      </c>
      <c r="F360" s="17">
        <v>0.25694444444444398</v>
      </c>
      <c r="H360" t="s">
        <v>167</v>
      </c>
      <c r="I360" s="2" t="s">
        <v>181</v>
      </c>
      <c r="J360" s="2" t="s">
        <v>182</v>
      </c>
      <c r="K360">
        <v>1</v>
      </c>
      <c r="L360">
        <v>1</v>
      </c>
      <c r="M360">
        <v>1</v>
      </c>
      <c r="N360">
        <v>5</v>
      </c>
      <c r="O360">
        <v>1</v>
      </c>
      <c r="P360">
        <v>2</v>
      </c>
    </row>
    <row r="361" spans="1:16" x14ac:dyDescent="0.3">
      <c r="A361" s="7" t="s">
        <v>262</v>
      </c>
      <c r="B361" t="s">
        <v>263</v>
      </c>
      <c r="C361" s="7" t="s">
        <v>249</v>
      </c>
      <c r="D361" s="1">
        <v>45342</v>
      </c>
      <c r="E361" s="17">
        <v>0.25</v>
      </c>
      <c r="F361" s="17">
        <v>0.25694444444444398</v>
      </c>
      <c r="H361" t="s">
        <v>167</v>
      </c>
      <c r="I361" s="2" t="s">
        <v>181</v>
      </c>
      <c r="J361" s="2" t="s">
        <v>182</v>
      </c>
      <c r="K361">
        <v>1</v>
      </c>
      <c r="L361">
        <v>1</v>
      </c>
      <c r="M361">
        <v>1</v>
      </c>
      <c r="N361">
        <v>5</v>
      </c>
      <c r="O361">
        <v>1</v>
      </c>
      <c r="P361">
        <v>2</v>
      </c>
    </row>
    <row r="362" spans="1:16" x14ac:dyDescent="0.3">
      <c r="A362" s="7" t="s">
        <v>270</v>
      </c>
      <c r="B362" t="s">
        <v>269</v>
      </c>
      <c r="C362" t="s">
        <v>264</v>
      </c>
      <c r="D362" s="1">
        <v>45342</v>
      </c>
      <c r="E362" s="17">
        <v>0.25</v>
      </c>
      <c r="F362" s="17">
        <v>0.25694444444444398</v>
      </c>
      <c r="H362" t="s">
        <v>167</v>
      </c>
      <c r="I362" s="2" t="s">
        <v>181</v>
      </c>
      <c r="J362" s="2" t="s">
        <v>182</v>
      </c>
      <c r="K362">
        <v>1</v>
      </c>
      <c r="L362">
        <v>1</v>
      </c>
      <c r="M362">
        <v>1</v>
      </c>
      <c r="N362">
        <v>5</v>
      </c>
      <c r="O362">
        <v>1</v>
      </c>
      <c r="P362">
        <v>2</v>
      </c>
    </row>
    <row r="363" spans="1:16" x14ac:dyDescent="0.3">
      <c r="A363" s="7" t="s">
        <v>275</v>
      </c>
      <c r="B363" t="s">
        <v>274</v>
      </c>
      <c r="C363" t="s">
        <v>249</v>
      </c>
      <c r="D363" s="1">
        <v>45343</v>
      </c>
      <c r="E363" s="17">
        <v>0.25</v>
      </c>
      <c r="F363" s="17">
        <v>0.25694444444444442</v>
      </c>
      <c r="H363" t="s">
        <v>167</v>
      </c>
      <c r="I363" s="2" t="s">
        <v>181</v>
      </c>
      <c r="J363" s="2" t="s">
        <v>182</v>
      </c>
      <c r="K363">
        <v>2</v>
      </c>
      <c r="L363">
        <v>1</v>
      </c>
      <c r="M363">
        <v>1</v>
      </c>
      <c r="N363">
        <v>5</v>
      </c>
      <c r="O363">
        <v>1</v>
      </c>
      <c r="P363">
        <v>3</v>
      </c>
    </row>
    <row r="364" spans="1:16" x14ac:dyDescent="0.3">
      <c r="A364" s="7" t="s">
        <v>252</v>
      </c>
      <c r="B364" t="s">
        <v>256</v>
      </c>
      <c r="C364" t="s">
        <v>249</v>
      </c>
      <c r="D364" s="1">
        <v>45343</v>
      </c>
      <c r="E364" s="17">
        <v>0.25</v>
      </c>
      <c r="F364" s="17">
        <v>0.25694444444444442</v>
      </c>
      <c r="H364" t="s">
        <v>167</v>
      </c>
      <c r="I364" s="2" t="s">
        <v>181</v>
      </c>
      <c r="J364" s="2" t="s">
        <v>182</v>
      </c>
      <c r="K364">
        <v>2</v>
      </c>
      <c r="L364">
        <v>1</v>
      </c>
      <c r="M364">
        <v>1</v>
      </c>
      <c r="N364">
        <v>5</v>
      </c>
      <c r="O364">
        <v>1</v>
      </c>
      <c r="P364">
        <v>3</v>
      </c>
    </row>
    <row r="365" spans="1:16" x14ac:dyDescent="0.3">
      <c r="A365" s="7" t="s">
        <v>253</v>
      </c>
      <c r="B365" t="s">
        <v>255</v>
      </c>
      <c r="C365" t="s">
        <v>249</v>
      </c>
      <c r="D365" s="1">
        <v>45343</v>
      </c>
      <c r="E365" s="17">
        <v>0.25</v>
      </c>
      <c r="F365" s="17">
        <v>0.25694444444444398</v>
      </c>
      <c r="H365" t="s">
        <v>167</v>
      </c>
      <c r="I365" s="2" t="s">
        <v>181</v>
      </c>
      <c r="J365" s="2" t="s">
        <v>182</v>
      </c>
      <c r="K365">
        <v>2</v>
      </c>
      <c r="L365">
        <v>1</v>
      </c>
      <c r="M365">
        <v>1</v>
      </c>
      <c r="N365">
        <v>5</v>
      </c>
      <c r="O365">
        <v>1</v>
      </c>
      <c r="P365">
        <v>3</v>
      </c>
    </row>
    <row r="366" spans="1:16" x14ac:dyDescent="0.3">
      <c r="A366" s="7" t="s">
        <v>251</v>
      </c>
      <c r="B366" t="s">
        <v>248</v>
      </c>
      <c r="C366" t="s">
        <v>249</v>
      </c>
      <c r="D366" s="1">
        <v>45343</v>
      </c>
      <c r="E366" s="17">
        <v>0.25</v>
      </c>
      <c r="F366" s="17">
        <v>0.25694444444444398</v>
      </c>
      <c r="H366" t="s">
        <v>167</v>
      </c>
      <c r="I366" s="2" t="s">
        <v>181</v>
      </c>
      <c r="J366" s="2" t="s">
        <v>182</v>
      </c>
      <c r="K366">
        <v>2</v>
      </c>
      <c r="L366">
        <v>1</v>
      </c>
      <c r="M366">
        <v>1</v>
      </c>
      <c r="N366">
        <v>5</v>
      </c>
      <c r="O366">
        <v>1</v>
      </c>
      <c r="P366">
        <v>3</v>
      </c>
    </row>
    <row r="367" spans="1:16" x14ac:dyDescent="0.3">
      <c r="A367" s="7" t="s">
        <v>270</v>
      </c>
      <c r="B367" t="s">
        <v>269</v>
      </c>
      <c r="C367" t="s">
        <v>264</v>
      </c>
      <c r="D367" s="1">
        <v>45343</v>
      </c>
      <c r="E367" s="17">
        <v>0.25</v>
      </c>
      <c r="F367" s="17">
        <v>0.25694444444444398</v>
      </c>
      <c r="H367" t="s">
        <v>167</v>
      </c>
      <c r="I367" s="2" t="s">
        <v>181</v>
      </c>
      <c r="J367" s="2" t="s">
        <v>182</v>
      </c>
      <c r="K367">
        <v>2</v>
      </c>
      <c r="L367">
        <v>1</v>
      </c>
      <c r="M367">
        <v>1</v>
      </c>
      <c r="N367">
        <v>5</v>
      </c>
      <c r="O367">
        <v>1</v>
      </c>
      <c r="P367">
        <v>3</v>
      </c>
    </row>
    <row r="368" spans="1:16" x14ac:dyDescent="0.3">
      <c r="A368" s="7" t="s">
        <v>273</v>
      </c>
      <c r="B368" t="s">
        <v>272</v>
      </c>
      <c r="C368" t="s">
        <v>264</v>
      </c>
      <c r="D368" s="1">
        <v>45343</v>
      </c>
      <c r="E368" s="17">
        <v>0.25</v>
      </c>
      <c r="F368" s="17">
        <v>0.25694444444444398</v>
      </c>
      <c r="H368" t="s">
        <v>167</v>
      </c>
      <c r="I368" s="2" t="s">
        <v>181</v>
      </c>
      <c r="J368" s="2" t="s">
        <v>182</v>
      </c>
      <c r="K368">
        <v>2</v>
      </c>
      <c r="L368">
        <v>1</v>
      </c>
      <c r="M368">
        <v>1</v>
      </c>
      <c r="N368">
        <v>5</v>
      </c>
      <c r="O368">
        <v>1</v>
      </c>
      <c r="P368">
        <v>3</v>
      </c>
    </row>
    <row r="369" spans="1:16" x14ac:dyDescent="0.3">
      <c r="A369" s="7" t="s">
        <v>250</v>
      </c>
      <c r="B369" t="s">
        <v>257</v>
      </c>
      <c r="C369" t="s">
        <v>249</v>
      </c>
      <c r="D369" s="1">
        <v>45343</v>
      </c>
      <c r="E369" s="17">
        <v>0.25</v>
      </c>
      <c r="F369" s="17">
        <v>0.25694444444444398</v>
      </c>
      <c r="H369" t="s">
        <v>167</v>
      </c>
      <c r="I369" s="2" t="s">
        <v>181</v>
      </c>
      <c r="J369" s="2" t="s">
        <v>182</v>
      </c>
      <c r="K369">
        <v>2</v>
      </c>
      <c r="L369">
        <v>1</v>
      </c>
      <c r="M369">
        <v>1</v>
      </c>
      <c r="N369">
        <v>5</v>
      </c>
      <c r="O369">
        <v>1</v>
      </c>
      <c r="P369">
        <v>3</v>
      </c>
    </row>
    <row r="370" spans="1:16" x14ac:dyDescent="0.3">
      <c r="A370" s="7" t="s">
        <v>252</v>
      </c>
      <c r="B370" t="s">
        <v>256</v>
      </c>
      <c r="C370" s="7" t="s">
        <v>249</v>
      </c>
      <c r="D370" s="1">
        <v>45342</v>
      </c>
      <c r="E370" s="17">
        <v>0.25</v>
      </c>
      <c r="F370" s="17">
        <v>0.25694444444444398</v>
      </c>
      <c r="H370" s="4" t="s">
        <v>171</v>
      </c>
      <c r="I370" s="5" t="s">
        <v>184</v>
      </c>
      <c r="J370" s="5" t="s">
        <v>185</v>
      </c>
      <c r="K370">
        <v>1</v>
      </c>
      <c r="L370">
        <v>1</v>
      </c>
      <c r="M370">
        <v>1</v>
      </c>
      <c r="N370">
        <v>5</v>
      </c>
      <c r="O370">
        <v>1</v>
      </c>
      <c r="P370">
        <v>1</v>
      </c>
    </row>
    <row r="371" spans="1:16" x14ac:dyDescent="0.3">
      <c r="A371" s="7" t="s">
        <v>253</v>
      </c>
      <c r="B371" t="s">
        <v>255</v>
      </c>
      <c r="C371" s="7" t="s">
        <v>249</v>
      </c>
      <c r="D371" s="1">
        <v>45342</v>
      </c>
      <c r="E371" s="17">
        <v>0.25</v>
      </c>
      <c r="F371" s="17">
        <v>0.25694444444444398</v>
      </c>
      <c r="H371" s="4" t="s">
        <v>171</v>
      </c>
      <c r="I371" s="5" t="s">
        <v>184</v>
      </c>
      <c r="J371" s="5" t="s">
        <v>185</v>
      </c>
      <c r="K371">
        <v>1</v>
      </c>
      <c r="L371">
        <v>1</v>
      </c>
      <c r="M371">
        <v>1</v>
      </c>
      <c r="N371">
        <v>5</v>
      </c>
      <c r="O371">
        <v>1</v>
      </c>
      <c r="P371">
        <v>1</v>
      </c>
    </row>
    <row r="372" spans="1:16" x14ac:dyDescent="0.3">
      <c r="A372" s="7" t="s">
        <v>250</v>
      </c>
      <c r="B372" t="s">
        <v>257</v>
      </c>
      <c r="C372" s="7" t="s">
        <v>249</v>
      </c>
      <c r="D372" s="1">
        <v>45342</v>
      </c>
      <c r="E372" s="17">
        <v>0.25</v>
      </c>
      <c r="F372" s="17">
        <v>0.25694444444444398</v>
      </c>
      <c r="H372" s="4" t="s">
        <v>171</v>
      </c>
      <c r="I372" s="5" t="s">
        <v>184</v>
      </c>
      <c r="J372" s="5" t="s">
        <v>185</v>
      </c>
      <c r="K372">
        <v>1</v>
      </c>
      <c r="L372">
        <v>1</v>
      </c>
      <c r="M372">
        <v>1</v>
      </c>
      <c r="N372">
        <v>5</v>
      </c>
      <c r="O372">
        <v>1</v>
      </c>
      <c r="P372">
        <v>1</v>
      </c>
    </row>
    <row r="373" spans="1:16" x14ac:dyDescent="0.3">
      <c r="A373" s="7" t="s">
        <v>251</v>
      </c>
      <c r="B373" t="s">
        <v>248</v>
      </c>
      <c r="C373" s="7" t="s">
        <v>249</v>
      </c>
      <c r="D373" s="1">
        <v>45342</v>
      </c>
      <c r="E373" s="17">
        <v>0.25</v>
      </c>
      <c r="F373" s="17">
        <v>0.25694444444444398</v>
      </c>
      <c r="H373" s="4" t="s">
        <v>171</v>
      </c>
      <c r="I373" s="5" t="s">
        <v>184</v>
      </c>
      <c r="J373" s="5" t="s">
        <v>185</v>
      </c>
      <c r="K373">
        <v>1</v>
      </c>
      <c r="L373">
        <v>1</v>
      </c>
      <c r="M373">
        <v>1</v>
      </c>
      <c r="N373">
        <v>5</v>
      </c>
      <c r="O373">
        <v>1</v>
      </c>
      <c r="P373">
        <v>1</v>
      </c>
    </row>
    <row r="374" spans="1:16" x14ac:dyDescent="0.3">
      <c r="A374" s="7" t="s">
        <v>254</v>
      </c>
      <c r="B374" t="s">
        <v>259</v>
      </c>
      <c r="C374" s="7" t="s">
        <v>249</v>
      </c>
      <c r="D374" s="1">
        <v>45342</v>
      </c>
      <c r="E374" s="17">
        <v>0.25</v>
      </c>
      <c r="F374" s="17">
        <v>0.25694444444444398</v>
      </c>
      <c r="H374" s="4" t="s">
        <v>171</v>
      </c>
      <c r="I374" s="5" t="s">
        <v>184</v>
      </c>
      <c r="J374" s="5" t="s">
        <v>185</v>
      </c>
      <c r="K374">
        <v>1</v>
      </c>
      <c r="L374">
        <v>1</v>
      </c>
      <c r="M374">
        <v>1</v>
      </c>
      <c r="N374">
        <v>5</v>
      </c>
      <c r="O374">
        <v>1</v>
      </c>
      <c r="P374">
        <v>1</v>
      </c>
    </row>
    <row r="375" spans="1:16" x14ac:dyDescent="0.3">
      <c r="A375" s="7" t="s">
        <v>262</v>
      </c>
      <c r="B375" t="s">
        <v>263</v>
      </c>
      <c r="C375" s="7" t="s">
        <v>249</v>
      </c>
      <c r="D375" s="1">
        <v>45342</v>
      </c>
      <c r="E375" s="17">
        <v>0.25</v>
      </c>
      <c r="F375" s="17">
        <v>0.25694444444444398</v>
      </c>
      <c r="H375" s="4" t="s">
        <v>171</v>
      </c>
      <c r="I375" s="5" t="s">
        <v>184</v>
      </c>
      <c r="J375" s="5" t="s">
        <v>185</v>
      </c>
      <c r="K375">
        <v>1</v>
      </c>
      <c r="L375">
        <v>1</v>
      </c>
      <c r="M375">
        <v>1</v>
      </c>
      <c r="N375">
        <v>5</v>
      </c>
      <c r="O375">
        <v>1</v>
      </c>
      <c r="P375">
        <v>1</v>
      </c>
    </row>
    <row r="376" spans="1:16" x14ac:dyDescent="0.3">
      <c r="A376" s="7" t="s">
        <v>275</v>
      </c>
      <c r="B376" t="s">
        <v>274</v>
      </c>
      <c r="C376" s="7" t="s">
        <v>249</v>
      </c>
      <c r="D376" s="1">
        <v>45342</v>
      </c>
      <c r="E376" s="17">
        <v>0.25</v>
      </c>
      <c r="F376" s="17">
        <v>0.25694444444444398</v>
      </c>
      <c r="H376" s="4" t="s">
        <v>171</v>
      </c>
      <c r="I376" s="5" t="s">
        <v>184</v>
      </c>
      <c r="J376" s="5" t="s">
        <v>185</v>
      </c>
      <c r="K376">
        <v>1</v>
      </c>
      <c r="L376">
        <v>1</v>
      </c>
      <c r="M376">
        <v>1</v>
      </c>
      <c r="N376">
        <v>5</v>
      </c>
      <c r="O376">
        <v>1</v>
      </c>
      <c r="P376">
        <v>1</v>
      </c>
    </row>
    <row r="377" spans="1:16" x14ac:dyDescent="0.3">
      <c r="A377" s="7" t="s">
        <v>273</v>
      </c>
      <c r="B377" t="s">
        <v>272</v>
      </c>
      <c r="C377" s="7" t="s">
        <v>264</v>
      </c>
      <c r="D377" s="1">
        <v>45342</v>
      </c>
      <c r="E377" s="17">
        <v>0.25</v>
      </c>
      <c r="F377" s="17">
        <v>0.25694444444444398</v>
      </c>
      <c r="H377" s="4" t="s">
        <v>171</v>
      </c>
      <c r="I377" s="5" t="s">
        <v>184</v>
      </c>
      <c r="J377" s="5" t="s">
        <v>185</v>
      </c>
      <c r="K377">
        <v>1</v>
      </c>
      <c r="L377">
        <v>1</v>
      </c>
      <c r="M377">
        <v>1</v>
      </c>
      <c r="N377">
        <v>5</v>
      </c>
      <c r="O377">
        <v>1</v>
      </c>
      <c r="P377">
        <v>1</v>
      </c>
    </row>
    <row r="378" spans="1:16" x14ac:dyDescent="0.3">
      <c r="A378" s="7" t="s">
        <v>275</v>
      </c>
      <c r="B378" t="s">
        <v>274</v>
      </c>
      <c r="C378" t="s">
        <v>249</v>
      </c>
      <c r="D378" s="1">
        <v>45343</v>
      </c>
      <c r="E378" s="17">
        <v>0.25</v>
      </c>
      <c r="F378" s="17">
        <v>0.25694444444444398</v>
      </c>
      <c r="H378" s="4" t="s">
        <v>171</v>
      </c>
      <c r="I378" s="5" t="s">
        <v>184</v>
      </c>
      <c r="J378" s="5" t="s">
        <v>185</v>
      </c>
      <c r="K378">
        <v>1</v>
      </c>
      <c r="L378">
        <v>1</v>
      </c>
      <c r="M378">
        <v>1</v>
      </c>
      <c r="N378">
        <v>5</v>
      </c>
      <c r="O378">
        <v>1</v>
      </c>
      <c r="P378">
        <v>4</v>
      </c>
    </row>
    <row r="379" spans="1:16" x14ac:dyDescent="0.3">
      <c r="A379" s="7" t="s">
        <v>252</v>
      </c>
      <c r="B379" t="s">
        <v>256</v>
      </c>
      <c r="C379" t="s">
        <v>249</v>
      </c>
      <c r="D379" s="1">
        <v>45343</v>
      </c>
      <c r="E379" s="17">
        <v>0.25</v>
      </c>
      <c r="F379" s="17">
        <v>0.25694444444444398</v>
      </c>
      <c r="H379" s="4" t="s">
        <v>171</v>
      </c>
      <c r="I379" s="5" t="s">
        <v>184</v>
      </c>
      <c r="J379" s="5" t="s">
        <v>185</v>
      </c>
      <c r="K379">
        <v>1</v>
      </c>
      <c r="L379">
        <v>1</v>
      </c>
      <c r="M379">
        <v>1</v>
      </c>
      <c r="N379">
        <v>5</v>
      </c>
      <c r="O379">
        <v>1</v>
      </c>
      <c r="P379">
        <v>4</v>
      </c>
    </row>
    <row r="380" spans="1:16" x14ac:dyDescent="0.3">
      <c r="A380" s="7" t="s">
        <v>250</v>
      </c>
      <c r="B380" t="s">
        <v>257</v>
      </c>
      <c r="C380" t="s">
        <v>249</v>
      </c>
      <c r="D380" s="1">
        <v>45343</v>
      </c>
      <c r="E380" s="17">
        <v>0.25</v>
      </c>
      <c r="F380" s="17">
        <v>0.25694444444444398</v>
      </c>
      <c r="H380" s="4" t="s">
        <v>171</v>
      </c>
      <c r="I380" s="5" t="s">
        <v>184</v>
      </c>
      <c r="J380" s="5" t="s">
        <v>185</v>
      </c>
      <c r="K380">
        <v>1</v>
      </c>
      <c r="L380">
        <v>1</v>
      </c>
      <c r="M380">
        <v>1</v>
      </c>
      <c r="N380">
        <v>5</v>
      </c>
      <c r="O380">
        <v>1</v>
      </c>
      <c r="P380">
        <v>4</v>
      </c>
    </row>
    <row r="381" spans="1:16" x14ac:dyDescent="0.3">
      <c r="A381" s="7" t="s">
        <v>262</v>
      </c>
      <c r="B381" t="s">
        <v>263</v>
      </c>
      <c r="C381" t="s">
        <v>249</v>
      </c>
      <c r="D381" s="1">
        <v>45343</v>
      </c>
      <c r="E381" s="17">
        <v>0.25</v>
      </c>
      <c r="F381" s="17">
        <v>0.25694444444444398</v>
      </c>
      <c r="H381" s="4" t="s">
        <v>171</v>
      </c>
      <c r="I381" s="5" t="s">
        <v>184</v>
      </c>
      <c r="J381" s="5" t="s">
        <v>185</v>
      </c>
      <c r="K381">
        <v>1</v>
      </c>
      <c r="L381">
        <v>1</v>
      </c>
      <c r="M381">
        <v>1</v>
      </c>
      <c r="N381">
        <v>5</v>
      </c>
      <c r="O381">
        <v>1</v>
      </c>
      <c r="P381">
        <v>4</v>
      </c>
    </row>
    <row r="382" spans="1:16" x14ac:dyDescent="0.3">
      <c r="A382" s="7" t="s">
        <v>260</v>
      </c>
      <c r="B382" t="s">
        <v>258</v>
      </c>
      <c r="C382" t="s">
        <v>249</v>
      </c>
      <c r="D382" s="1">
        <v>45343</v>
      </c>
      <c r="E382" s="17">
        <v>0.25</v>
      </c>
      <c r="F382" s="17">
        <v>0.25694444444444398</v>
      </c>
      <c r="H382" s="4" t="s">
        <v>171</v>
      </c>
      <c r="I382" s="5" t="s">
        <v>184</v>
      </c>
      <c r="J382" s="5" t="s">
        <v>185</v>
      </c>
      <c r="K382">
        <v>1</v>
      </c>
      <c r="L382">
        <v>1</v>
      </c>
      <c r="M382">
        <v>1</v>
      </c>
      <c r="N382">
        <v>5</v>
      </c>
      <c r="O382">
        <v>1</v>
      </c>
      <c r="P382">
        <v>4</v>
      </c>
    </row>
    <row r="383" spans="1:16" x14ac:dyDescent="0.3">
      <c r="A383" s="7" t="s">
        <v>253</v>
      </c>
      <c r="B383" t="s">
        <v>255</v>
      </c>
      <c r="C383" t="s">
        <v>249</v>
      </c>
      <c r="D383" s="1">
        <v>45343</v>
      </c>
      <c r="E383" s="17">
        <v>0.25</v>
      </c>
      <c r="F383" s="17">
        <v>0.25694444444444398</v>
      </c>
      <c r="H383" s="4" t="s">
        <v>171</v>
      </c>
      <c r="I383" s="5" t="s">
        <v>184</v>
      </c>
      <c r="J383" s="5" t="s">
        <v>185</v>
      </c>
      <c r="K383">
        <v>1</v>
      </c>
      <c r="L383">
        <v>1</v>
      </c>
      <c r="M383">
        <v>1</v>
      </c>
      <c r="N383">
        <v>5</v>
      </c>
      <c r="O383">
        <v>1</v>
      </c>
      <c r="P383">
        <v>4</v>
      </c>
    </row>
    <row r="384" spans="1:16" x14ac:dyDescent="0.3">
      <c r="A384" s="7" t="s">
        <v>265</v>
      </c>
      <c r="B384" t="s">
        <v>266</v>
      </c>
      <c r="C384" t="s">
        <v>249</v>
      </c>
      <c r="D384" s="1">
        <v>45343</v>
      </c>
      <c r="E384" s="17">
        <v>0.25</v>
      </c>
      <c r="F384" s="17">
        <v>0.25694444444444398</v>
      </c>
      <c r="H384" s="4" t="s">
        <v>171</v>
      </c>
      <c r="I384" s="5" t="s">
        <v>184</v>
      </c>
      <c r="J384" s="5" t="s">
        <v>185</v>
      </c>
      <c r="K384">
        <v>1</v>
      </c>
      <c r="L384">
        <v>1</v>
      </c>
      <c r="M384">
        <v>1</v>
      </c>
      <c r="N384">
        <v>5</v>
      </c>
      <c r="O384">
        <v>1</v>
      </c>
      <c r="P384">
        <v>4</v>
      </c>
    </row>
    <row r="385" spans="1:16" x14ac:dyDescent="0.3">
      <c r="A385" s="7" t="s">
        <v>254</v>
      </c>
      <c r="B385" t="s">
        <v>259</v>
      </c>
      <c r="C385" t="s">
        <v>249</v>
      </c>
      <c r="D385" s="1">
        <v>45343</v>
      </c>
      <c r="E385" s="17">
        <v>0.25</v>
      </c>
      <c r="F385" s="17">
        <v>0.25694444444444398</v>
      </c>
      <c r="H385" s="4" t="s">
        <v>171</v>
      </c>
      <c r="I385" s="5" t="s">
        <v>184</v>
      </c>
      <c r="J385" s="5" t="s">
        <v>185</v>
      </c>
      <c r="K385">
        <v>1</v>
      </c>
      <c r="L385">
        <v>1</v>
      </c>
      <c r="M385">
        <v>1</v>
      </c>
      <c r="N385">
        <v>5</v>
      </c>
      <c r="O385">
        <v>1</v>
      </c>
      <c r="P385">
        <v>4</v>
      </c>
    </row>
    <row r="386" spans="1:16" x14ac:dyDescent="0.3">
      <c r="A386" s="7" t="s">
        <v>273</v>
      </c>
      <c r="B386" t="s">
        <v>272</v>
      </c>
      <c r="C386" t="s">
        <v>264</v>
      </c>
      <c r="D386" s="1">
        <v>45343</v>
      </c>
      <c r="E386" s="17">
        <v>0.25</v>
      </c>
      <c r="F386" s="17">
        <v>0.25694444444444398</v>
      </c>
      <c r="H386" s="4" t="s">
        <v>171</v>
      </c>
      <c r="I386" s="5" t="s">
        <v>184</v>
      </c>
      <c r="J386" s="5" t="s">
        <v>185</v>
      </c>
      <c r="K386">
        <v>1</v>
      </c>
      <c r="L386">
        <v>1</v>
      </c>
      <c r="M386">
        <v>1</v>
      </c>
      <c r="N386">
        <v>5</v>
      </c>
      <c r="O386">
        <v>1</v>
      </c>
      <c r="P386">
        <v>4</v>
      </c>
    </row>
    <row r="387" spans="1:16" x14ac:dyDescent="0.3">
      <c r="A387" s="7" t="s">
        <v>252</v>
      </c>
      <c r="B387" t="s">
        <v>256</v>
      </c>
      <c r="C387" s="7" t="s">
        <v>249</v>
      </c>
      <c r="D387" s="1">
        <v>45342</v>
      </c>
      <c r="E387" s="17">
        <v>0.25</v>
      </c>
      <c r="F387" s="17">
        <v>0.25694444444444398</v>
      </c>
      <c r="H387" t="s">
        <v>186</v>
      </c>
      <c r="I387" s="2" t="s">
        <v>188</v>
      </c>
      <c r="J387" s="2" t="s">
        <v>189</v>
      </c>
      <c r="K387">
        <v>1</v>
      </c>
      <c r="L387">
        <v>1</v>
      </c>
      <c r="M387">
        <v>1</v>
      </c>
      <c r="N387">
        <v>5</v>
      </c>
      <c r="O387">
        <v>1</v>
      </c>
      <c r="P387">
        <v>3</v>
      </c>
    </row>
    <row r="388" spans="1:16" x14ac:dyDescent="0.3">
      <c r="A388" s="7" t="s">
        <v>253</v>
      </c>
      <c r="B388" t="s">
        <v>255</v>
      </c>
      <c r="C388" s="7" t="s">
        <v>249</v>
      </c>
      <c r="D388" s="1">
        <v>45342</v>
      </c>
      <c r="E388" s="17">
        <v>0.25</v>
      </c>
      <c r="F388" s="17">
        <v>0.25694444444444398</v>
      </c>
      <c r="H388" t="s">
        <v>186</v>
      </c>
      <c r="I388" s="2" t="s">
        <v>188</v>
      </c>
      <c r="J388" s="2" t="s">
        <v>189</v>
      </c>
      <c r="K388">
        <v>1</v>
      </c>
      <c r="L388">
        <v>1</v>
      </c>
      <c r="M388">
        <v>1</v>
      </c>
      <c r="N388">
        <v>5</v>
      </c>
      <c r="O388">
        <v>1</v>
      </c>
      <c r="P388">
        <v>3</v>
      </c>
    </row>
    <row r="389" spans="1:16" x14ac:dyDescent="0.3">
      <c r="A389" s="7" t="s">
        <v>251</v>
      </c>
      <c r="B389" t="s">
        <v>248</v>
      </c>
      <c r="C389" s="7" t="s">
        <v>249</v>
      </c>
      <c r="D389" s="1">
        <v>45342</v>
      </c>
      <c r="E389" s="17">
        <v>0.25</v>
      </c>
      <c r="F389" s="17">
        <v>0.25694444444444398</v>
      </c>
      <c r="H389" t="s">
        <v>186</v>
      </c>
      <c r="I389" s="2" t="s">
        <v>188</v>
      </c>
      <c r="J389" s="2" t="s">
        <v>189</v>
      </c>
      <c r="K389">
        <v>1</v>
      </c>
      <c r="L389">
        <v>1</v>
      </c>
      <c r="M389">
        <v>1</v>
      </c>
      <c r="N389">
        <v>5</v>
      </c>
      <c r="O389">
        <v>1</v>
      </c>
      <c r="P389">
        <v>3</v>
      </c>
    </row>
    <row r="390" spans="1:16" x14ac:dyDescent="0.3">
      <c r="A390" s="7" t="s">
        <v>250</v>
      </c>
      <c r="B390" t="s">
        <v>257</v>
      </c>
      <c r="C390" s="7" t="s">
        <v>249</v>
      </c>
      <c r="D390" s="1">
        <v>45342</v>
      </c>
      <c r="E390" s="17">
        <v>0.25</v>
      </c>
      <c r="F390" s="17">
        <v>0.25694444444444398</v>
      </c>
      <c r="H390" t="s">
        <v>186</v>
      </c>
      <c r="I390" s="2" t="s">
        <v>188</v>
      </c>
      <c r="J390" s="2" t="s">
        <v>189</v>
      </c>
      <c r="K390">
        <v>1</v>
      </c>
      <c r="L390">
        <v>1</v>
      </c>
      <c r="M390">
        <v>1</v>
      </c>
      <c r="N390">
        <v>5</v>
      </c>
      <c r="O390">
        <v>1</v>
      </c>
      <c r="P390">
        <v>3</v>
      </c>
    </row>
    <row r="391" spans="1:16" x14ac:dyDescent="0.3">
      <c r="A391" s="7" t="s">
        <v>275</v>
      </c>
      <c r="B391" t="s">
        <v>274</v>
      </c>
      <c r="C391" s="7" t="s">
        <v>249</v>
      </c>
      <c r="D391" s="1">
        <v>45342</v>
      </c>
      <c r="E391" s="17">
        <v>0.25</v>
      </c>
      <c r="F391" s="17">
        <v>0.25694444444444398</v>
      </c>
      <c r="H391" t="s">
        <v>186</v>
      </c>
      <c r="I391" s="2" t="s">
        <v>188</v>
      </c>
      <c r="J391" s="2" t="s">
        <v>189</v>
      </c>
      <c r="K391">
        <v>1</v>
      </c>
      <c r="L391">
        <v>1</v>
      </c>
      <c r="M391">
        <v>1</v>
      </c>
      <c r="N391">
        <v>5</v>
      </c>
      <c r="O391">
        <v>1</v>
      </c>
      <c r="P391">
        <v>3</v>
      </c>
    </row>
    <row r="392" spans="1:16" x14ac:dyDescent="0.3">
      <c r="A392" s="7" t="s">
        <v>273</v>
      </c>
      <c r="B392" t="s">
        <v>272</v>
      </c>
      <c r="C392" s="7" t="s">
        <v>264</v>
      </c>
      <c r="D392" s="1">
        <v>45342</v>
      </c>
      <c r="E392" s="17">
        <v>0.25</v>
      </c>
      <c r="F392" s="17">
        <v>0.25694444444444398</v>
      </c>
      <c r="H392" t="s">
        <v>186</v>
      </c>
      <c r="I392" s="2" t="s">
        <v>188</v>
      </c>
      <c r="J392" s="2" t="s">
        <v>189</v>
      </c>
      <c r="K392">
        <v>1</v>
      </c>
      <c r="L392">
        <v>1</v>
      </c>
      <c r="M392">
        <v>1</v>
      </c>
      <c r="N392">
        <v>5</v>
      </c>
      <c r="O392">
        <v>1</v>
      </c>
      <c r="P392">
        <v>3</v>
      </c>
    </row>
    <row r="393" spans="1:16" x14ac:dyDescent="0.3">
      <c r="A393" s="7" t="s">
        <v>270</v>
      </c>
      <c r="B393" t="s">
        <v>269</v>
      </c>
      <c r="C393" s="7" t="s">
        <v>264</v>
      </c>
      <c r="D393" s="1">
        <v>45342</v>
      </c>
      <c r="E393" s="17">
        <v>0.25</v>
      </c>
      <c r="F393" s="17">
        <v>0.25694444444444398</v>
      </c>
      <c r="H393" t="s">
        <v>186</v>
      </c>
      <c r="I393" s="2" t="s">
        <v>188</v>
      </c>
      <c r="J393" s="2" t="s">
        <v>189</v>
      </c>
      <c r="K393">
        <v>1</v>
      </c>
      <c r="L393">
        <v>1</v>
      </c>
      <c r="M393">
        <v>1</v>
      </c>
      <c r="N393">
        <v>5</v>
      </c>
      <c r="O393">
        <v>1</v>
      </c>
      <c r="P393">
        <v>3</v>
      </c>
    </row>
    <row r="394" spans="1:16" x14ac:dyDescent="0.3">
      <c r="A394" s="7" t="s">
        <v>252</v>
      </c>
      <c r="B394" t="s">
        <v>256</v>
      </c>
      <c r="C394" t="s">
        <v>249</v>
      </c>
      <c r="D394" s="1">
        <v>45343</v>
      </c>
      <c r="E394" s="17">
        <v>0.25</v>
      </c>
      <c r="F394" s="17">
        <v>0.25694444444444398</v>
      </c>
      <c r="H394" t="s">
        <v>186</v>
      </c>
      <c r="I394" s="2" t="s">
        <v>188</v>
      </c>
      <c r="J394" s="2" t="s">
        <v>189</v>
      </c>
      <c r="K394">
        <v>1</v>
      </c>
      <c r="L394">
        <v>1</v>
      </c>
      <c r="M394">
        <v>1</v>
      </c>
      <c r="N394">
        <v>5</v>
      </c>
      <c r="O394">
        <v>1</v>
      </c>
      <c r="P394">
        <v>1</v>
      </c>
    </row>
    <row r="395" spans="1:16" x14ac:dyDescent="0.3">
      <c r="A395" s="7" t="s">
        <v>251</v>
      </c>
      <c r="B395" t="s">
        <v>248</v>
      </c>
      <c r="C395" t="s">
        <v>249</v>
      </c>
      <c r="D395" s="1">
        <v>45343</v>
      </c>
      <c r="E395" s="17">
        <v>0.25</v>
      </c>
      <c r="F395" s="17">
        <v>0.25694444444444398</v>
      </c>
      <c r="H395" t="s">
        <v>186</v>
      </c>
      <c r="I395" s="2" t="s">
        <v>188</v>
      </c>
      <c r="J395" s="2" t="s">
        <v>189</v>
      </c>
      <c r="K395">
        <v>1</v>
      </c>
      <c r="L395">
        <v>1</v>
      </c>
      <c r="M395">
        <v>1</v>
      </c>
      <c r="N395">
        <v>5</v>
      </c>
      <c r="O395">
        <v>1</v>
      </c>
      <c r="P395">
        <v>1</v>
      </c>
    </row>
    <row r="396" spans="1:16" x14ac:dyDescent="0.3">
      <c r="A396" s="7" t="s">
        <v>253</v>
      </c>
      <c r="B396" t="s">
        <v>255</v>
      </c>
      <c r="C396" t="s">
        <v>249</v>
      </c>
      <c r="D396" s="1">
        <v>45343</v>
      </c>
      <c r="E396" s="17">
        <v>0.25</v>
      </c>
      <c r="F396" s="17">
        <v>0.25694444444444398</v>
      </c>
      <c r="H396" t="s">
        <v>186</v>
      </c>
      <c r="I396" s="2" t="s">
        <v>188</v>
      </c>
      <c r="J396" s="2" t="s">
        <v>189</v>
      </c>
      <c r="K396">
        <v>1</v>
      </c>
      <c r="L396">
        <v>1</v>
      </c>
      <c r="M396">
        <v>1</v>
      </c>
      <c r="N396">
        <v>5</v>
      </c>
      <c r="O396">
        <v>1</v>
      </c>
      <c r="P396">
        <v>1</v>
      </c>
    </row>
    <row r="397" spans="1:16" x14ac:dyDescent="0.3">
      <c r="A397" s="7" t="s">
        <v>275</v>
      </c>
      <c r="B397" t="s">
        <v>274</v>
      </c>
      <c r="C397" t="s">
        <v>249</v>
      </c>
      <c r="D397" s="1">
        <v>45343</v>
      </c>
      <c r="E397" s="17">
        <v>0.25</v>
      </c>
      <c r="F397" s="17">
        <v>0.25694444444444398</v>
      </c>
      <c r="H397" t="s">
        <v>186</v>
      </c>
      <c r="I397" s="2" t="s">
        <v>188</v>
      </c>
      <c r="J397" s="2" t="s">
        <v>189</v>
      </c>
      <c r="K397">
        <v>1</v>
      </c>
      <c r="L397">
        <v>1</v>
      </c>
      <c r="M397">
        <v>1</v>
      </c>
      <c r="N397">
        <v>5</v>
      </c>
      <c r="O397">
        <v>1</v>
      </c>
      <c r="P397">
        <v>1</v>
      </c>
    </row>
    <row r="398" spans="1:16" x14ac:dyDescent="0.3">
      <c r="A398" s="7" t="s">
        <v>250</v>
      </c>
      <c r="B398" t="s">
        <v>257</v>
      </c>
      <c r="C398" t="s">
        <v>249</v>
      </c>
      <c r="D398" s="1">
        <v>45343</v>
      </c>
      <c r="E398" s="17">
        <v>0.25</v>
      </c>
      <c r="F398" s="17">
        <v>0.25694444444444398</v>
      </c>
      <c r="H398" t="s">
        <v>186</v>
      </c>
      <c r="I398" s="2" t="s">
        <v>188</v>
      </c>
      <c r="J398" s="2" t="s">
        <v>189</v>
      </c>
      <c r="K398">
        <v>1</v>
      </c>
      <c r="L398">
        <v>1</v>
      </c>
      <c r="M398">
        <v>1</v>
      </c>
      <c r="N398">
        <v>5</v>
      </c>
      <c r="O398">
        <v>1</v>
      </c>
      <c r="P398">
        <v>1</v>
      </c>
    </row>
    <row r="399" spans="1:16" x14ac:dyDescent="0.3">
      <c r="A399" s="7" t="s">
        <v>262</v>
      </c>
      <c r="B399" t="s">
        <v>263</v>
      </c>
      <c r="C399" t="s">
        <v>249</v>
      </c>
      <c r="D399" s="1">
        <v>45343</v>
      </c>
      <c r="E399" s="17">
        <v>0.25</v>
      </c>
      <c r="F399" s="17">
        <v>0.25694444444444398</v>
      </c>
      <c r="H399" t="s">
        <v>186</v>
      </c>
      <c r="I399" s="2" t="s">
        <v>188</v>
      </c>
      <c r="J399" s="2" t="s">
        <v>189</v>
      </c>
      <c r="K399">
        <v>1</v>
      </c>
      <c r="L399">
        <v>1</v>
      </c>
      <c r="M399">
        <v>1</v>
      </c>
      <c r="N399">
        <v>5</v>
      </c>
      <c r="O399">
        <v>1</v>
      </c>
      <c r="P399">
        <v>1</v>
      </c>
    </row>
    <row r="400" spans="1:16" x14ac:dyDescent="0.3">
      <c r="A400" s="7" t="s">
        <v>260</v>
      </c>
      <c r="B400" t="s">
        <v>258</v>
      </c>
      <c r="C400" t="s">
        <v>249</v>
      </c>
      <c r="D400" s="1">
        <v>45343</v>
      </c>
      <c r="E400" s="17">
        <v>0.25</v>
      </c>
      <c r="F400" s="17">
        <v>0.25694444444444398</v>
      </c>
      <c r="H400" t="s">
        <v>186</v>
      </c>
      <c r="I400" s="2" t="s">
        <v>188</v>
      </c>
      <c r="J400" s="2" t="s">
        <v>189</v>
      </c>
      <c r="K400">
        <v>1</v>
      </c>
      <c r="L400">
        <v>1</v>
      </c>
      <c r="M400">
        <v>1</v>
      </c>
      <c r="N400">
        <v>5</v>
      </c>
      <c r="O400">
        <v>1</v>
      </c>
      <c r="P400">
        <v>1</v>
      </c>
    </row>
    <row r="401" spans="1:16" x14ac:dyDescent="0.3">
      <c r="A401" s="7" t="s">
        <v>250</v>
      </c>
      <c r="B401" t="s">
        <v>257</v>
      </c>
      <c r="C401" s="7" t="s">
        <v>249</v>
      </c>
      <c r="D401" s="1">
        <v>45342</v>
      </c>
      <c r="E401" s="17">
        <v>0.25347222222222221</v>
      </c>
      <c r="F401" s="17">
        <v>0.26041666666666669</v>
      </c>
      <c r="H401" s="4" t="s">
        <v>187</v>
      </c>
      <c r="I401" s="5" t="s">
        <v>192</v>
      </c>
      <c r="J401" s="5" t="s">
        <v>193</v>
      </c>
      <c r="K401">
        <v>2</v>
      </c>
      <c r="L401">
        <v>1</v>
      </c>
      <c r="M401">
        <v>1</v>
      </c>
      <c r="N401">
        <v>5</v>
      </c>
      <c r="O401">
        <v>1</v>
      </c>
      <c r="P401">
        <v>2</v>
      </c>
    </row>
    <row r="402" spans="1:16" x14ac:dyDescent="0.3">
      <c r="A402" s="7" t="s">
        <v>253</v>
      </c>
      <c r="B402" t="s">
        <v>255</v>
      </c>
      <c r="C402" s="7" t="s">
        <v>249</v>
      </c>
      <c r="D402" s="1">
        <v>45342</v>
      </c>
      <c r="E402" s="17">
        <v>0.25347222222222221</v>
      </c>
      <c r="F402" s="17">
        <v>0.26041666666666669</v>
      </c>
      <c r="H402" s="4" t="s">
        <v>187</v>
      </c>
      <c r="I402" s="5" t="s">
        <v>192</v>
      </c>
      <c r="J402" s="5" t="s">
        <v>193</v>
      </c>
      <c r="K402">
        <v>2</v>
      </c>
      <c r="L402">
        <v>1</v>
      </c>
      <c r="M402">
        <v>1</v>
      </c>
      <c r="N402">
        <v>5</v>
      </c>
      <c r="O402">
        <v>1</v>
      </c>
      <c r="P402">
        <v>2</v>
      </c>
    </row>
    <row r="403" spans="1:16" x14ac:dyDescent="0.3">
      <c r="A403" s="7" t="s">
        <v>275</v>
      </c>
      <c r="B403" t="s">
        <v>274</v>
      </c>
      <c r="C403" s="7" t="s">
        <v>249</v>
      </c>
      <c r="D403" s="1">
        <v>45342</v>
      </c>
      <c r="E403" s="17">
        <v>0.25347222222222199</v>
      </c>
      <c r="F403" s="17">
        <v>0.26041666666666702</v>
      </c>
      <c r="H403" s="4" t="s">
        <v>187</v>
      </c>
      <c r="I403" s="5" t="s">
        <v>192</v>
      </c>
      <c r="J403" s="5" t="s">
        <v>193</v>
      </c>
      <c r="K403">
        <v>2</v>
      </c>
      <c r="L403">
        <v>1</v>
      </c>
      <c r="M403">
        <v>1</v>
      </c>
      <c r="N403">
        <v>5</v>
      </c>
      <c r="O403">
        <v>1</v>
      </c>
      <c r="P403">
        <v>2</v>
      </c>
    </row>
    <row r="404" spans="1:16" x14ac:dyDescent="0.3">
      <c r="A404" s="7" t="s">
        <v>252</v>
      </c>
      <c r="B404" t="s">
        <v>256</v>
      </c>
      <c r="C404" s="7" t="s">
        <v>249</v>
      </c>
      <c r="D404" s="1">
        <v>45342</v>
      </c>
      <c r="E404" s="17">
        <v>0.25347222222222199</v>
      </c>
      <c r="F404" s="17">
        <v>0.26041666666666702</v>
      </c>
      <c r="H404" s="4" t="s">
        <v>187</v>
      </c>
      <c r="I404" s="5" t="s">
        <v>192</v>
      </c>
      <c r="J404" s="5" t="s">
        <v>193</v>
      </c>
      <c r="K404">
        <v>2</v>
      </c>
      <c r="L404">
        <v>1</v>
      </c>
      <c r="M404">
        <v>1</v>
      </c>
      <c r="N404">
        <v>5</v>
      </c>
      <c r="O404">
        <v>1</v>
      </c>
      <c r="P404">
        <v>2</v>
      </c>
    </row>
    <row r="405" spans="1:16" x14ac:dyDescent="0.3">
      <c r="A405" s="7" t="s">
        <v>262</v>
      </c>
      <c r="B405" t="s">
        <v>263</v>
      </c>
      <c r="C405" s="7" t="s">
        <v>249</v>
      </c>
      <c r="D405" s="1">
        <v>45342</v>
      </c>
      <c r="E405" s="17">
        <v>0.25347222222222199</v>
      </c>
      <c r="F405" s="17">
        <v>0.26041666666666702</v>
      </c>
      <c r="H405" s="4" t="s">
        <v>187</v>
      </c>
      <c r="I405" s="5" t="s">
        <v>192</v>
      </c>
      <c r="J405" s="5" t="s">
        <v>193</v>
      </c>
      <c r="K405">
        <v>2</v>
      </c>
      <c r="L405">
        <v>1</v>
      </c>
      <c r="M405">
        <v>1</v>
      </c>
      <c r="N405">
        <v>5</v>
      </c>
      <c r="O405">
        <v>1</v>
      </c>
      <c r="P405">
        <v>2</v>
      </c>
    </row>
    <row r="406" spans="1:16" x14ac:dyDescent="0.3">
      <c r="A406" s="7" t="s">
        <v>251</v>
      </c>
      <c r="B406" t="s">
        <v>248</v>
      </c>
      <c r="C406" t="s">
        <v>249</v>
      </c>
      <c r="D406" s="1">
        <v>45342</v>
      </c>
      <c r="E406" s="17">
        <v>0.25347222222222199</v>
      </c>
      <c r="F406" s="17">
        <v>0.26041666666666702</v>
      </c>
      <c r="H406" s="4" t="s">
        <v>187</v>
      </c>
      <c r="I406" s="5" t="s">
        <v>192</v>
      </c>
      <c r="J406" s="5" t="s">
        <v>193</v>
      </c>
      <c r="K406">
        <v>2</v>
      </c>
      <c r="L406">
        <v>1</v>
      </c>
      <c r="M406">
        <v>1</v>
      </c>
      <c r="N406">
        <v>5</v>
      </c>
      <c r="O406">
        <v>1</v>
      </c>
      <c r="P406">
        <v>2</v>
      </c>
    </row>
    <row r="407" spans="1:16" x14ac:dyDescent="0.3">
      <c r="A407" s="7" t="s">
        <v>254</v>
      </c>
      <c r="B407" t="s">
        <v>259</v>
      </c>
      <c r="C407" s="7" t="s">
        <v>249</v>
      </c>
      <c r="D407" s="1">
        <v>45342</v>
      </c>
      <c r="E407" s="17">
        <v>0.25347222222222199</v>
      </c>
      <c r="F407" s="17">
        <v>0.26041666666666702</v>
      </c>
      <c r="H407" s="4" t="s">
        <v>187</v>
      </c>
      <c r="I407" s="5" t="s">
        <v>192</v>
      </c>
      <c r="J407" s="5" t="s">
        <v>193</v>
      </c>
      <c r="K407">
        <v>2</v>
      </c>
      <c r="L407">
        <v>1</v>
      </c>
      <c r="M407">
        <v>1</v>
      </c>
      <c r="N407">
        <v>5</v>
      </c>
      <c r="O407">
        <v>1</v>
      </c>
      <c r="P407">
        <v>2</v>
      </c>
    </row>
    <row r="408" spans="1:16" x14ac:dyDescent="0.3">
      <c r="A408" s="7" t="s">
        <v>253</v>
      </c>
      <c r="B408" t="s">
        <v>255</v>
      </c>
      <c r="C408" t="s">
        <v>249</v>
      </c>
      <c r="D408" s="1">
        <v>45343</v>
      </c>
      <c r="E408" s="17">
        <v>0.25</v>
      </c>
      <c r="F408" s="17">
        <v>0.25694444444444398</v>
      </c>
      <c r="H408" s="4" t="s">
        <v>187</v>
      </c>
      <c r="I408" s="5" t="s">
        <v>192</v>
      </c>
      <c r="J408" s="5" t="s">
        <v>193</v>
      </c>
      <c r="K408">
        <v>2</v>
      </c>
      <c r="L408">
        <v>1</v>
      </c>
      <c r="M408">
        <v>1</v>
      </c>
      <c r="N408">
        <v>4</v>
      </c>
      <c r="O408">
        <v>1</v>
      </c>
      <c r="P408">
        <v>1</v>
      </c>
    </row>
    <row r="409" spans="1:16" x14ac:dyDescent="0.3">
      <c r="A409" s="7" t="s">
        <v>252</v>
      </c>
      <c r="B409" t="s">
        <v>256</v>
      </c>
      <c r="C409" t="s">
        <v>249</v>
      </c>
      <c r="D409" s="1">
        <v>45343</v>
      </c>
      <c r="E409" s="17">
        <v>0.25</v>
      </c>
      <c r="F409" s="17">
        <v>0.25694444444444398</v>
      </c>
      <c r="H409" s="4" t="s">
        <v>187</v>
      </c>
      <c r="I409" s="5" t="s">
        <v>192</v>
      </c>
      <c r="J409" s="5" t="s">
        <v>193</v>
      </c>
      <c r="K409">
        <v>2</v>
      </c>
      <c r="L409">
        <v>1</v>
      </c>
      <c r="M409">
        <v>1</v>
      </c>
      <c r="N409">
        <v>4</v>
      </c>
      <c r="O409">
        <v>1</v>
      </c>
      <c r="P409">
        <v>1</v>
      </c>
    </row>
    <row r="410" spans="1:16" x14ac:dyDescent="0.3">
      <c r="A410" s="7" t="s">
        <v>250</v>
      </c>
      <c r="B410" t="s">
        <v>257</v>
      </c>
      <c r="C410" t="s">
        <v>249</v>
      </c>
      <c r="D410" s="1">
        <v>45343</v>
      </c>
      <c r="E410" s="17">
        <v>0.25</v>
      </c>
      <c r="F410" s="17">
        <v>0.25694444444444398</v>
      </c>
      <c r="H410" s="4" t="s">
        <v>187</v>
      </c>
      <c r="I410" s="5" t="s">
        <v>192</v>
      </c>
      <c r="J410" s="5" t="s">
        <v>193</v>
      </c>
      <c r="K410">
        <v>2</v>
      </c>
      <c r="L410">
        <v>1</v>
      </c>
      <c r="M410">
        <v>1</v>
      </c>
      <c r="N410">
        <v>4</v>
      </c>
      <c r="O410">
        <v>1</v>
      </c>
      <c r="P410">
        <v>1</v>
      </c>
    </row>
    <row r="411" spans="1:16" x14ac:dyDescent="0.3">
      <c r="A411" s="7" t="s">
        <v>270</v>
      </c>
      <c r="B411" t="s">
        <v>269</v>
      </c>
      <c r="C411" t="s">
        <v>264</v>
      </c>
      <c r="D411" s="1">
        <v>45343</v>
      </c>
      <c r="E411" s="17">
        <v>0.25</v>
      </c>
      <c r="F411" s="17">
        <v>0.25694444444444398</v>
      </c>
      <c r="H411" s="4" t="s">
        <v>187</v>
      </c>
      <c r="I411" s="5" t="s">
        <v>192</v>
      </c>
      <c r="J411" s="5" t="s">
        <v>193</v>
      </c>
      <c r="K411">
        <v>2</v>
      </c>
      <c r="L411">
        <v>1</v>
      </c>
      <c r="M411">
        <v>1</v>
      </c>
      <c r="N411">
        <v>4</v>
      </c>
      <c r="O411">
        <v>1</v>
      </c>
      <c r="P411">
        <v>1</v>
      </c>
    </row>
    <row r="412" spans="1:16" x14ac:dyDescent="0.3">
      <c r="A412" s="7" t="s">
        <v>275</v>
      </c>
      <c r="B412" t="s">
        <v>274</v>
      </c>
      <c r="C412" t="s">
        <v>249</v>
      </c>
      <c r="D412" s="1">
        <v>45343</v>
      </c>
      <c r="E412" s="17">
        <v>0.25</v>
      </c>
      <c r="F412" s="17">
        <v>0.25694444444444398</v>
      </c>
      <c r="H412" s="4" t="s">
        <v>187</v>
      </c>
      <c r="I412" s="5" t="s">
        <v>192</v>
      </c>
      <c r="J412" s="5" t="s">
        <v>193</v>
      </c>
      <c r="K412">
        <v>2</v>
      </c>
      <c r="L412">
        <v>1</v>
      </c>
      <c r="M412">
        <v>1</v>
      </c>
      <c r="N412">
        <v>4</v>
      </c>
      <c r="O412">
        <v>1</v>
      </c>
      <c r="P412">
        <v>1</v>
      </c>
    </row>
    <row r="413" spans="1:16" x14ac:dyDescent="0.3">
      <c r="A413" s="7" t="s">
        <v>251</v>
      </c>
      <c r="B413" t="s">
        <v>248</v>
      </c>
      <c r="C413" t="s">
        <v>249</v>
      </c>
      <c r="D413" s="1">
        <v>45343</v>
      </c>
      <c r="E413" s="17">
        <v>0.25</v>
      </c>
      <c r="F413" s="17">
        <v>0.25694444444444398</v>
      </c>
      <c r="H413" s="4" t="s">
        <v>187</v>
      </c>
      <c r="I413" s="5" t="s">
        <v>192</v>
      </c>
      <c r="J413" s="5" t="s">
        <v>193</v>
      </c>
      <c r="K413">
        <v>2</v>
      </c>
      <c r="L413">
        <v>1</v>
      </c>
      <c r="M413">
        <v>1</v>
      </c>
      <c r="N413">
        <v>4</v>
      </c>
      <c r="O413">
        <v>1</v>
      </c>
      <c r="P413">
        <v>1</v>
      </c>
    </row>
    <row r="414" spans="1:16" x14ac:dyDescent="0.3">
      <c r="A414" s="7" t="s">
        <v>250</v>
      </c>
      <c r="B414" t="s">
        <v>257</v>
      </c>
      <c r="C414" t="s">
        <v>249</v>
      </c>
      <c r="D414" s="1">
        <v>45338</v>
      </c>
      <c r="E414" s="17">
        <v>0.24930555555555556</v>
      </c>
      <c r="F414" s="17">
        <v>0.25624999999999998</v>
      </c>
      <c r="G414" t="s">
        <v>285</v>
      </c>
      <c r="H414" t="s">
        <v>195</v>
      </c>
      <c r="I414" s="2" t="s">
        <v>196</v>
      </c>
      <c r="J414" s="2" t="s">
        <v>197</v>
      </c>
      <c r="K414">
        <v>1</v>
      </c>
      <c r="L414">
        <v>1</v>
      </c>
      <c r="M414">
        <v>1</v>
      </c>
      <c r="N414">
        <v>3</v>
      </c>
      <c r="O414">
        <v>5</v>
      </c>
      <c r="P414">
        <v>1</v>
      </c>
    </row>
    <row r="415" spans="1:16" x14ac:dyDescent="0.3">
      <c r="A415" s="7" t="s">
        <v>252</v>
      </c>
      <c r="B415" t="s">
        <v>256</v>
      </c>
      <c r="C415" s="7" t="s">
        <v>249</v>
      </c>
      <c r="D415" s="1">
        <v>45338</v>
      </c>
      <c r="E415" s="17">
        <v>0.24930555555555556</v>
      </c>
      <c r="F415" s="17">
        <v>0.25624999999999998</v>
      </c>
      <c r="G415" t="s">
        <v>285</v>
      </c>
      <c r="H415" t="s">
        <v>195</v>
      </c>
      <c r="I415" s="2" t="s">
        <v>196</v>
      </c>
      <c r="J415" s="2" t="s">
        <v>197</v>
      </c>
      <c r="K415">
        <v>1</v>
      </c>
      <c r="L415">
        <v>1</v>
      </c>
      <c r="M415">
        <v>1</v>
      </c>
      <c r="N415">
        <v>3</v>
      </c>
      <c r="O415">
        <v>5</v>
      </c>
      <c r="P415">
        <v>1</v>
      </c>
    </row>
    <row r="416" spans="1:16" x14ac:dyDescent="0.3">
      <c r="A416" s="7" t="s">
        <v>253</v>
      </c>
      <c r="B416" t="s">
        <v>255</v>
      </c>
      <c r="C416" t="s">
        <v>249</v>
      </c>
      <c r="D416" s="1">
        <v>45338</v>
      </c>
      <c r="E416" s="17">
        <v>0.24930555555555556</v>
      </c>
      <c r="F416" s="17">
        <v>0.25624999999999998</v>
      </c>
      <c r="G416" t="s">
        <v>285</v>
      </c>
      <c r="H416" t="s">
        <v>195</v>
      </c>
      <c r="I416" s="2" t="s">
        <v>196</v>
      </c>
      <c r="J416" s="2" t="s">
        <v>197</v>
      </c>
      <c r="K416">
        <v>1</v>
      </c>
      <c r="L416">
        <v>1</v>
      </c>
      <c r="M416">
        <v>1</v>
      </c>
      <c r="N416">
        <v>3</v>
      </c>
      <c r="O416">
        <v>5</v>
      </c>
      <c r="P416">
        <v>1</v>
      </c>
    </row>
    <row r="417" spans="1:16" x14ac:dyDescent="0.3">
      <c r="A417" s="7" t="s">
        <v>262</v>
      </c>
      <c r="B417" t="s">
        <v>263</v>
      </c>
      <c r="C417" s="7" t="s">
        <v>249</v>
      </c>
      <c r="D417" s="1">
        <v>45338</v>
      </c>
      <c r="E417" s="17">
        <v>0.24930555555555556</v>
      </c>
      <c r="F417" s="17">
        <v>0.25624999999999998</v>
      </c>
      <c r="G417" t="s">
        <v>285</v>
      </c>
      <c r="H417" t="s">
        <v>195</v>
      </c>
      <c r="I417" s="2" t="s">
        <v>196</v>
      </c>
      <c r="J417" s="2" t="s">
        <v>197</v>
      </c>
      <c r="K417">
        <v>1</v>
      </c>
      <c r="L417">
        <v>1</v>
      </c>
      <c r="M417">
        <v>1</v>
      </c>
      <c r="N417">
        <v>3</v>
      </c>
      <c r="O417">
        <v>5</v>
      </c>
      <c r="P417">
        <v>1</v>
      </c>
    </row>
    <row r="418" spans="1:16" x14ac:dyDescent="0.3">
      <c r="A418" s="7" t="s">
        <v>250</v>
      </c>
      <c r="B418" t="s">
        <v>257</v>
      </c>
      <c r="C418" t="s">
        <v>249</v>
      </c>
      <c r="D418" s="1">
        <v>45339</v>
      </c>
      <c r="E418" s="17">
        <v>0.24930555555555556</v>
      </c>
      <c r="F418" s="17">
        <v>0.25624999999999998</v>
      </c>
      <c r="H418" t="s">
        <v>195</v>
      </c>
      <c r="I418" s="2" t="s">
        <v>196</v>
      </c>
      <c r="J418" s="2" t="s">
        <v>197</v>
      </c>
      <c r="K418">
        <v>1</v>
      </c>
      <c r="L418">
        <v>1</v>
      </c>
      <c r="M418">
        <v>1</v>
      </c>
      <c r="N418">
        <v>4</v>
      </c>
      <c r="O418">
        <v>3</v>
      </c>
      <c r="P418">
        <v>1</v>
      </c>
    </row>
    <row r="419" spans="1:16" x14ac:dyDescent="0.3">
      <c r="A419" s="7" t="s">
        <v>253</v>
      </c>
      <c r="B419" t="s">
        <v>255</v>
      </c>
      <c r="C419" t="s">
        <v>249</v>
      </c>
      <c r="D419" s="1">
        <v>45339</v>
      </c>
      <c r="E419" s="17">
        <v>0.24930555555555556</v>
      </c>
      <c r="F419" s="17">
        <v>0.25624999999999998</v>
      </c>
      <c r="H419" t="s">
        <v>195</v>
      </c>
      <c r="I419" s="2" t="s">
        <v>196</v>
      </c>
      <c r="J419" s="2" t="s">
        <v>197</v>
      </c>
      <c r="K419">
        <v>1</v>
      </c>
      <c r="L419">
        <v>1</v>
      </c>
      <c r="M419">
        <v>1</v>
      </c>
      <c r="N419">
        <v>4</v>
      </c>
      <c r="O419">
        <v>3</v>
      </c>
      <c r="P419">
        <v>1</v>
      </c>
    </row>
    <row r="420" spans="1:16" x14ac:dyDescent="0.3">
      <c r="A420" s="7" t="s">
        <v>275</v>
      </c>
      <c r="B420" t="s">
        <v>274</v>
      </c>
      <c r="C420" t="s">
        <v>249</v>
      </c>
      <c r="D420" s="1">
        <v>45339</v>
      </c>
      <c r="E420" s="17">
        <v>0.249305555555556</v>
      </c>
      <c r="F420" s="17">
        <v>0.25624999999999998</v>
      </c>
      <c r="H420" t="s">
        <v>195</v>
      </c>
      <c r="I420" s="2" t="s">
        <v>196</v>
      </c>
      <c r="J420" s="2" t="s">
        <v>197</v>
      </c>
      <c r="K420">
        <v>1</v>
      </c>
      <c r="L420">
        <v>1</v>
      </c>
      <c r="M420">
        <v>1</v>
      </c>
      <c r="N420">
        <v>4</v>
      </c>
      <c r="O420">
        <v>3</v>
      </c>
      <c r="P420">
        <v>1</v>
      </c>
    </row>
    <row r="421" spans="1:16" x14ac:dyDescent="0.3">
      <c r="A421" s="7" t="s">
        <v>252</v>
      </c>
      <c r="B421" t="s">
        <v>256</v>
      </c>
      <c r="C421" t="s">
        <v>249</v>
      </c>
      <c r="D421" s="1">
        <v>45339</v>
      </c>
      <c r="E421" s="17">
        <v>0.249305555555556</v>
      </c>
      <c r="F421" s="17">
        <v>0.25624999999999998</v>
      </c>
      <c r="H421" t="s">
        <v>195</v>
      </c>
      <c r="I421" s="2" t="s">
        <v>196</v>
      </c>
      <c r="J421" s="2" t="s">
        <v>197</v>
      </c>
      <c r="K421">
        <v>1</v>
      </c>
      <c r="L421">
        <v>1</v>
      </c>
      <c r="M421">
        <v>1</v>
      </c>
      <c r="N421">
        <v>4</v>
      </c>
      <c r="O421">
        <v>3</v>
      </c>
      <c r="P421">
        <v>1</v>
      </c>
    </row>
    <row r="422" spans="1:16" x14ac:dyDescent="0.3">
      <c r="A422" s="7" t="s">
        <v>251</v>
      </c>
      <c r="B422" t="s">
        <v>248</v>
      </c>
      <c r="C422" t="s">
        <v>249</v>
      </c>
      <c r="D422" s="1">
        <v>45339</v>
      </c>
      <c r="E422" s="17">
        <v>0.249305555555556</v>
      </c>
      <c r="F422" s="17">
        <v>0.25624999999999998</v>
      </c>
      <c r="H422" t="s">
        <v>195</v>
      </c>
      <c r="I422" s="2" t="s">
        <v>196</v>
      </c>
      <c r="J422" s="2" t="s">
        <v>197</v>
      </c>
      <c r="K422">
        <v>1</v>
      </c>
      <c r="L422">
        <v>1</v>
      </c>
      <c r="M422">
        <v>1</v>
      </c>
      <c r="N422">
        <v>4</v>
      </c>
      <c r="O422">
        <v>3</v>
      </c>
      <c r="P422">
        <v>1</v>
      </c>
    </row>
    <row r="423" spans="1:16" x14ac:dyDescent="0.3">
      <c r="A423" s="7" t="s">
        <v>250</v>
      </c>
      <c r="B423" t="s">
        <v>257</v>
      </c>
      <c r="C423" s="7" t="s">
        <v>249</v>
      </c>
      <c r="D423" s="1">
        <v>45338</v>
      </c>
      <c r="E423" s="17">
        <v>0.25</v>
      </c>
      <c r="F423" s="17">
        <v>0.25694444444444442</v>
      </c>
      <c r="H423" s="4" t="s">
        <v>199</v>
      </c>
      <c r="I423" s="5" t="s">
        <v>200</v>
      </c>
      <c r="J423" s="5" t="s">
        <v>201</v>
      </c>
      <c r="K423">
        <v>1</v>
      </c>
      <c r="L423">
        <v>1</v>
      </c>
      <c r="M423">
        <v>1</v>
      </c>
      <c r="N423">
        <v>3</v>
      </c>
      <c r="O423">
        <v>4</v>
      </c>
      <c r="P423">
        <v>1</v>
      </c>
    </row>
    <row r="424" spans="1:16" x14ac:dyDescent="0.3">
      <c r="A424" s="7" t="s">
        <v>275</v>
      </c>
      <c r="B424" t="s">
        <v>274</v>
      </c>
      <c r="C424" t="s">
        <v>249</v>
      </c>
      <c r="D424" s="1">
        <v>45338</v>
      </c>
      <c r="E424" s="17">
        <v>0.25</v>
      </c>
      <c r="F424" s="17">
        <v>0.25694444444444442</v>
      </c>
      <c r="H424" s="4" t="s">
        <v>199</v>
      </c>
      <c r="I424" s="5" t="s">
        <v>200</v>
      </c>
      <c r="J424" s="5" t="s">
        <v>201</v>
      </c>
      <c r="K424">
        <v>1</v>
      </c>
      <c r="L424">
        <v>1</v>
      </c>
      <c r="M424">
        <v>1</v>
      </c>
      <c r="N424">
        <v>3</v>
      </c>
      <c r="O424">
        <v>4</v>
      </c>
      <c r="P424">
        <v>1</v>
      </c>
    </row>
    <row r="425" spans="1:16" x14ac:dyDescent="0.3">
      <c r="A425" s="7" t="s">
        <v>252</v>
      </c>
      <c r="B425" t="s">
        <v>256</v>
      </c>
      <c r="C425" s="7" t="s">
        <v>249</v>
      </c>
      <c r="D425" s="1">
        <v>45338</v>
      </c>
      <c r="E425" s="17">
        <v>0.25</v>
      </c>
      <c r="F425" s="17">
        <v>0.25694444444444442</v>
      </c>
      <c r="H425" s="4" t="s">
        <v>199</v>
      </c>
      <c r="I425" s="5" t="s">
        <v>200</v>
      </c>
      <c r="J425" s="5" t="s">
        <v>201</v>
      </c>
      <c r="K425">
        <v>1</v>
      </c>
      <c r="L425">
        <v>1</v>
      </c>
      <c r="M425">
        <v>1</v>
      </c>
      <c r="N425">
        <v>3</v>
      </c>
      <c r="O425">
        <v>4</v>
      </c>
      <c r="P425">
        <v>1</v>
      </c>
    </row>
    <row r="426" spans="1:16" x14ac:dyDescent="0.3">
      <c r="A426" s="7" t="s">
        <v>253</v>
      </c>
      <c r="B426" t="s">
        <v>255</v>
      </c>
      <c r="C426" t="s">
        <v>249</v>
      </c>
      <c r="D426" s="1">
        <v>45338</v>
      </c>
      <c r="E426" s="17">
        <v>0.25</v>
      </c>
      <c r="F426" s="17">
        <v>0.25694444444444442</v>
      </c>
      <c r="H426" s="4" t="s">
        <v>199</v>
      </c>
      <c r="I426" s="5" t="s">
        <v>200</v>
      </c>
      <c r="J426" s="5" t="s">
        <v>201</v>
      </c>
      <c r="K426">
        <v>1</v>
      </c>
      <c r="L426">
        <v>1</v>
      </c>
      <c r="M426">
        <v>1</v>
      </c>
      <c r="N426">
        <v>3</v>
      </c>
      <c r="O426">
        <v>4</v>
      </c>
      <c r="P426">
        <v>1</v>
      </c>
    </row>
    <row r="427" spans="1:16" x14ac:dyDescent="0.3">
      <c r="A427" s="7" t="s">
        <v>253</v>
      </c>
      <c r="B427" t="s">
        <v>255</v>
      </c>
      <c r="C427" t="s">
        <v>249</v>
      </c>
      <c r="D427" s="1">
        <v>45339</v>
      </c>
      <c r="E427" s="17">
        <v>0.25</v>
      </c>
      <c r="F427" s="17">
        <v>0.25694444444444442</v>
      </c>
      <c r="H427" s="4" t="s">
        <v>199</v>
      </c>
      <c r="I427" s="5" t="s">
        <v>200</v>
      </c>
      <c r="J427" s="5" t="s">
        <v>201</v>
      </c>
      <c r="K427">
        <v>1</v>
      </c>
      <c r="L427">
        <v>1</v>
      </c>
      <c r="M427">
        <v>2</v>
      </c>
      <c r="N427">
        <v>4</v>
      </c>
      <c r="O427">
        <v>3</v>
      </c>
      <c r="P427">
        <v>3</v>
      </c>
    </row>
    <row r="428" spans="1:16" x14ac:dyDescent="0.3">
      <c r="A428" s="7" t="s">
        <v>250</v>
      </c>
      <c r="B428" t="s">
        <v>257</v>
      </c>
      <c r="C428" t="s">
        <v>249</v>
      </c>
      <c r="D428" s="1">
        <v>45339</v>
      </c>
      <c r="E428" s="17">
        <v>0.25</v>
      </c>
      <c r="F428" s="17">
        <v>0.25694444444444442</v>
      </c>
      <c r="H428" s="4" t="s">
        <v>199</v>
      </c>
      <c r="I428" s="5" t="s">
        <v>200</v>
      </c>
      <c r="J428" s="5" t="s">
        <v>201</v>
      </c>
      <c r="K428">
        <v>1</v>
      </c>
      <c r="L428">
        <v>1</v>
      </c>
      <c r="M428">
        <v>2</v>
      </c>
      <c r="N428">
        <v>4</v>
      </c>
      <c r="O428">
        <v>3</v>
      </c>
      <c r="P428">
        <v>3</v>
      </c>
    </row>
    <row r="429" spans="1:16" x14ac:dyDescent="0.3">
      <c r="A429" s="7" t="s">
        <v>273</v>
      </c>
      <c r="B429" t="s">
        <v>272</v>
      </c>
      <c r="C429" t="s">
        <v>264</v>
      </c>
      <c r="D429" s="1">
        <v>45339</v>
      </c>
      <c r="E429" s="17">
        <v>0.25</v>
      </c>
      <c r="F429" s="17">
        <v>0.25694444444444398</v>
      </c>
      <c r="H429" s="4" t="s">
        <v>199</v>
      </c>
      <c r="I429" s="5" t="s">
        <v>200</v>
      </c>
      <c r="J429" s="5" t="s">
        <v>201</v>
      </c>
      <c r="K429">
        <v>1</v>
      </c>
      <c r="L429">
        <v>1</v>
      </c>
      <c r="M429">
        <v>2</v>
      </c>
      <c r="N429">
        <v>4</v>
      </c>
      <c r="O429">
        <v>3</v>
      </c>
      <c r="P429">
        <v>3</v>
      </c>
    </row>
    <row r="430" spans="1:16" x14ac:dyDescent="0.3">
      <c r="A430" s="7" t="s">
        <v>262</v>
      </c>
      <c r="B430" t="s">
        <v>263</v>
      </c>
      <c r="C430" t="s">
        <v>249</v>
      </c>
      <c r="D430" s="1">
        <v>45339</v>
      </c>
      <c r="E430" s="17">
        <v>0.25</v>
      </c>
      <c r="F430" s="17">
        <v>0.25694444444444398</v>
      </c>
      <c r="H430" s="4" t="s">
        <v>199</v>
      </c>
      <c r="I430" s="5" t="s">
        <v>200</v>
      </c>
      <c r="J430" s="5" t="s">
        <v>201</v>
      </c>
      <c r="K430">
        <v>1</v>
      </c>
      <c r="L430">
        <v>1</v>
      </c>
      <c r="M430">
        <v>2</v>
      </c>
      <c r="N430">
        <v>4</v>
      </c>
      <c r="O430">
        <v>3</v>
      </c>
      <c r="P430">
        <v>3</v>
      </c>
    </row>
    <row r="431" spans="1:16" x14ac:dyDescent="0.3">
      <c r="A431" s="7" t="s">
        <v>275</v>
      </c>
      <c r="B431" t="s">
        <v>274</v>
      </c>
      <c r="C431" t="s">
        <v>249</v>
      </c>
      <c r="D431" s="1">
        <v>45339</v>
      </c>
      <c r="E431" s="17">
        <v>0.25</v>
      </c>
      <c r="F431" s="17">
        <v>0.25694444444444398</v>
      </c>
      <c r="H431" s="4" t="s">
        <v>199</v>
      </c>
      <c r="I431" s="5" t="s">
        <v>200</v>
      </c>
      <c r="J431" s="5" t="s">
        <v>201</v>
      </c>
      <c r="K431">
        <v>1</v>
      </c>
      <c r="L431">
        <v>1</v>
      </c>
      <c r="M431">
        <v>2</v>
      </c>
      <c r="N431">
        <v>4</v>
      </c>
      <c r="O431">
        <v>3</v>
      </c>
      <c r="P431">
        <v>3</v>
      </c>
    </row>
    <row r="432" spans="1:16" x14ac:dyDescent="0.3">
      <c r="A432" s="7" t="s">
        <v>252</v>
      </c>
      <c r="B432" t="s">
        <v>256</v>
      </c>
      <c r="C432" t="s">
        <v>249</v>
      </c>
      <c r="D432" s="1">
        <v>45339</v>
      </c>
      <c r="E432" s="17">
        <v>0.25</v>
      </c>
      <c r="F432" s="17">
        <v>0.25694444444444398</v>
      </c>
      <c r="H432" s="4" t="s">
        <v>199</v>
      </c>
      <c r="I432" s="5" t="s">
        <v>200</v>
      </c>
      <c r="J432" s="5" t="s">
        <v>201</v>
      </c>
      <c r="K432">
        <v>1</v>
      </c>
      <c r="L432">
        <v>1</v>
      </c>
      <c r="M432">
        <v>2</v>
      </c>
      <c r="N432">
        <v>4</v>
      </c>
      <c r="O432">
        <v>3</v>
      </c>
      <c r="P432">
        <v>3</v>
      </c>
    </row>
    <row r="433" spans="1:16" x14ac:dyDescent="0.3">
      <c r="A433" s="7" t="s">
        <v>250</v>
      </c>
      <c r="B433" t="s">
        <v>257</v>
      </c>
      <c r="C433" s="7" t="s">
        <v>249</v>
      </c>
      <c r="D433" s="1">
        <v>45338</v>
      </c>
      <c r="E433" s="17">
        <v>0.25</v>
      </c>
      <c r="F433" s="17">
        <v>0.25694444444444398</v>
      </c>
      <c r="G433" t="s">
        <v>287</v>
      </c>
      <c r="H433" t="s">
        <v>32</v>
      </c>
      <c r="I433" s="2" t="s">
        <v>34</v>
      </c>
      <c r="J433" s="2" t="s">
        <v>35</v>
      </c>
      <c r="K433">
        <v>2</v>
      </c>
      <c r="L433" t="s">
        <v>286</v>
      </c>
      <c r="M433">
        <v>1</v>
      </c>
      <c r="N433">
        <v>1</v>
      </c>
      <c r="O433">
        <v>5</v>
      </c>
      <c r="P433">
        <v>2</v>
      </c>
    </row>
    <row r="434" spans="1:16" x14ac:dyDescent="0.3">
      <c r="A434" s="7" t="s">
        <v>275</v>
      </c>
      <c r="B434" t="s">
        <v>274</v>
      </c>
      <c r="C434" t="s">
        <v>249</v>
      </c>
      <c r="D434" s="1">
        <v>45338</v>
      </c>
      <c r="E434" s="17">
        <v>0.25</v>
      </c>
      <c r="F434" s="17">
        <v>0.25694444444444398</v>
      </c>
      <c r="G434" t="s">
        <v>287</v>
      </c>
      <c r="H434" t="s">
        <v>32</v>
      </c>
      <c r="I434" s="2" t="s">
        <v>34</v>
      </c>
      <c r="J434" s="2" t="s">
        <v>35</v>
      </c>
      <c r="K434">
        <v>2</v>
      </c>
      <c r="L434" t="s">
        <v>286</v>
      </c>
      <c r="M434">
        <v>1</v>
      </c>
      <c r="N434">
        <v>1</v>
      </c>
      <c r="O434">
        <v>5</v>
      </c>
      <c r="P434">
        <v>2</v>
      </c>
    </row>
    <row r="435" spans="1:16" x14ac:dyDescent="0.3">
      <c r="A435" s="7" t="s">
        <v>252</v>
      </c>
      <c r="B435" t="s">
        <v>256</v>
      </c>
      <c r="C435" t="s">
        <v>249</v>
      </c>
      <c r="D435" s="1">
        <v>45339</v>
      </c>
      <c r="E435" s="17">
        <v>0.25</v>
      </c>
      <c r="F435" s="17">
        <v>0.25694444444444398</v>
      </c>
      <c r="G435" t="s">
        <v>301</v>
      </c>
      <c r="H435" t="s">
        <v>32</v>
      </c>
      <c r="I435" s="2" t="s">
        <v>34</v>
      </c>
      <c r="J435" s="2" t="s">
        <v>35</v>
      </c>
      <c r="K435">
        <v>1</v>
      </c>
      <c r="L435">
        <v>1</v>
      </c>
      <c r="M435">
        <v>1</v>
      </c>
      <c r="N435">
        <v>1</v>
      </c>
      <c r="O435">
        <v>5</v>
      </c>
      <c r="P435">
        <v>1</v>
      </c>
    </row>
    <row r="436" spans="1:16" x14ac:dyDescent="0.3">
      <c r="A436" s="7" t="s">
        <v>273</v>
      </c>
      <c r="B436" t="s">
        <v>272</v>
      </c>
      <c r="C436" s="7" t="s">
        <v>264</v>
      </c>
      <c r="D436" s="1">
        <v>45342</v>
      </c>
      <c r="E436" s="17">
        <v>0.25</v>
      </c>
      <c r="F436" s="17">
        <v>0.25694444444444442</v>
      </c>
      <c r="H436" s="4" t="s">
        <v>203</v>
      </c>
      <c r="I436" s="5" t="s">
        <v>205</v>
      </c>
      <c r="J436" s="5" t="s">
        <v>206</v>
      </c>
      <c r="K436">
        <v>2</v>
      </c>
      <c r="L436">
        <v>1</v>
      </c>
      <c r="M436">
        <v>1</v>
      </c>
      <c r="N436">
        <v>5</v>
      </c>
      <c r="O436">
        <v>2</v>
      </c>
      <c r="P436">
        <v>2</v>
      </c>
    </row>
    <row r="437" spans="1:16" x14ac:dyDescent="0.3">
      <c r="A437" s="7" t="s">
        <v>262</v>
      </c>
      <c r="B437" t="s">
        <v>263</v>
      </c>
      <c r="C437" t="s">
        <v>249</v>
      </c>
      <c r="D437" s="1">
        <v>45342</v>
      </c>
      <c r="E437" s="17">
        <v>0.25</v>
      </c>
      <c r="F437" s="17">
        <v>0.25694444444444442</v>
      </c>
      <c r="H437" s="4" t="s">
        <v>203</v>
      </c>
      <c r="I437" s="5" t="s">
        <v>205</v>
      </c>
      <c r="J437" s="5" t="s">
        <v>206</v>
      </c>
      <c r="K437">
        <v>2</v>
      </c>
      <c r="L437">
        <v>1</v>
      </c>
      <c r="M437">
        <v>1</v>
      </c>
      <c r="N437">
        <v>5</v>
      </c>
      <c r="O437">
        <v>2</v>
      </c>
      <c r="P437">
        <v>2</v>
      </c>
    </row>
    <row r="438" spans="1:16" x14ac:dyDescent="0.3">
      <c r="A438" s="7" t="s">
        <v>251</v>
      </c>
      <c r="B438" t="s">
        <v>248</v>
      </c>
      <c r="C438" s="7" t="s">
        <v>249</v>
      </c>
      <c r="D438" s="1">
        <v>45342</v>
      </c>
      <c r="E438" s="17">
        <v>0.25</v>
      </c>
      <c r="F438" s="17">
        <v>0.25694444444444398</v>
      </c>
      <c r="H438" s="4" t="s">
        <v>203</v>
      </c>
      <c r="I438" s="5" t="s">
        <v>205</v>
      </c>
      <c r="J438" s="5" t="s">
        <v>206</v>
      </c>
      <c r="K438">
        <v>2</v>
      </c>
      <c r="L438">
        <v>1</v>
      </c>
      <c r="M438">
        <v>1</v>
      </c>
      <c r="N438">
        <v>5</v>
      </c>
      <c r="O438">
        <v>2</v>
      </c>
      <c r="P438">
        <v>2</v>
      </c>
    </row>
    <row r="439" spans="1:16" x14ac:dyDescent="0.3">
      <c r="A439" s="7" t="s">
        <v>250</v>
      </c>
      <c r="B439" t="s">
        <v>257</v>
      </c>
      <c r="C439" t="s">
        <v>249</v>
      </c>
      <c r="D439" s="1">
        <v>45342</v>
      </c>
      <c r="E439" s="17">
        <v>0.25</v>
      </c>
      <c r="F439" s="17">
        <v>0.25694444444444398</v>
      </c>
      <c r="H439" s="4" t="s">
        <v>203</v>
      </c>
      <c r="I439" s="5" t="s">
        <v>205</v>
      </c>
      <c r="J439" s="5" t="s">
        <v>206</v>
      </c>
      <c r="K439">
        <v>2</v>
      </c>
      <c r="L439">
        <v>1</v>
      </c>
      <c r="M439">
        <v>1</v>
      </c>
      <c r="N439">
        <v>5</v>
      </c>
      <c r="O439">
        <v>2</v>
      </c>
      <c r="P439">
        <v>2</v>
      </c>
    </row>
    <row r="440" spans="1:16" x14ac:dyDescent="0.3">
      <c r="A440" s="7" t="s">
        <v>253</v>
      </c>
      <c r="B440" t="s">
        <v>255</v>
      </c>
      <c r="C440" s="7" t="s">
        <v>249</v>
      </c>
      <c r="D440" s="1">
        <v>45342</v>
      </c>
      <c r="E440" s="17">
        <v>0.25</v>
      </c>
      <c r="F440" s="17">
        <v>0.25694444444444398</v>
      </c>
      <c r="H440" s="4" t="s">
        <v>203</v>
      </c>
      <c r="I440" s="5" t="s">
        <v>205</v>
      </c>
      <c r="J440" s="5" t="s">
        <v>206</v>
      </c>
      <c r="K440">
        <v>2</v>
      </c>
      <c r="L440">
        <v>1</v>
      </c>
      <c r="M440">
        <v>1</v>
      </c>
      <c r="N440">
        <v>5</v>
      </c>
      <c r="O440">
        <v>2</v>
      </c>
      <c r="P440">
        <v>2</v>
      </c>
    </row>
    <row r="441" spans="1:16" x14ac:dyDescent="0.3">
      <c r="A441" s="7" t="s">
        <v>275</v>
      </c>
      <c r="B441" t="s">
        <v>274</v>
      </c>
      <c r="C441" t="s">
        <v>249</v>
      </c>
      <c r="D441" s="1">
        <v>45342</v>
      </c>
      <c r="E441" s="17">
        <v>0.25</v>
      </c>
      <c r="F441" s="17">
        <v>0.25694444444444398</v>
      </c>
      <c r="H441" s="4" t="s">
        <v>203</v>
      </c>
      <c r="I441" s="5" t="s">
        <v>205</v>
      </c>
      <c r="J441" s="5" t="s">
        <v>206</v>
      </c>
      <c r="K441">
        <v>2</v>
      </c>
      <c r="L441">
        <v>1</v>
      </c>
      <c r="M441">
        <v>1</v>
      </c>
      <c r="N441">
        <v>5</v>
      </c>
      <c r="O441">
        <v>2</v>
      </c>
      <c r="P441">
        <v>2</v>
      </c>
    </row>
    <row r="442" spans="1:16" x14ac:dyDescent="0.3">
      <c r="A442" s="7" t="s">
        <v>252</v>
      </c>
      <c r="B442" t="s">
        <v>256</v>
      </c>
      <c r="C442" s="7" t="s">
        <v>249</v>
      </c>
      <c r="D442" s="1">
        <v>45342</v>
      </c>
      <c r="E442" s="17">
        <v>0.25</v>
      </c>
      <c r="F442" s="17">
        <v>0.25694444444444398</v>
      </c>
      <c r="H442" s="4" t="s">
        <v>203</v>
      </c>
      <c r="I442" s="5" t="s">
        <v>205</v>
      </c>
      <c r="J442" s="5" t="s">
        <v>206</v>
      </c>
      <c r="K442">
        <v>2</v>
      </c>
      <c r="L442">
        <v>1</v>
      </c>
      <c r="M442">
        <v>1</v>
      </c>
      <c r="N442">
        <v>5</v>
      </c>
      <c r="O442">
        <v>2</v>
      </c>
      <c r="P442">
        <v>2</v>
      </c>
    </row>
    <row r="443" spans="1:16" x14ac:dyDescent="0.3">
      <c r="A443" s="7" t="s">
        <v>260</v>
      </c>
      <c r="B443" t="s">
        <v>258</v>
      </c>
      <c r="C443" t="s">
        <v>249</v>
      </c>
      <c r="D443" s="1">
        <v>45342</v>
      </c>
      <c r="E443" s="17">
        <v>0.25</v>
      </c>
      <c r="F443" s="17">
        <v>0.25694444444444398</v>
      </c>
      <c r="H443" s="4" t="s">
        <v>203</v>
      </c>
      <c r="I443" s="5" t="s">
        <v>205</v>
      </c>
      <c r="J443" s="5" t="s">
        <v>206</v>
      </c>
      <c r="K443">
        <v>2</v>
      </c>
      <c r="L443">
        <v>1</v>
      </c>
      <c r="M443">
        <v>1</v>
      </c>
      <c r="N443">
        <v>5</v>
      </c>
      <c r="O443">
        <v>2</v>
      </c>
      <c r="P443">
        <v>2</v>
      </c>
    </row>
    <row r="444" spans="1:16" x14ac:dyDescent="0.3">
      <c r="A444" s="7" t="s">
        <v>251</v>
      </c>
      <c r="B444" t="s">
        <v>248</v>
      </c>
      <c r="C444" t="s">
        <v>249</v>
      </c>
      <c r="D444" s="1">
        <v>45343</v>
      </c>
      <c r="E444" s="17">
        <v>0.25</v>
      </c>
      <c r="F444" s="17">
        <v>0.25694444444444442</v>
      </c>
      <c r="H444" s="4" t="s">
        <v>203</v>
      </c>
      <c r="I444" s="5" t="s">
        <v>205</v>
      </c>
      <c r="J444" s="5" t="s">
        <v>206</v>
      </c>
      <c r="K444">
        <v>1</v>
      </c>
      <c r="L444">
        <v>1</v>
      </c>
      <c r="M444">
        <v>1</v>
      </c>
      <c r="N444">
        <v>4</v>
      </c>
      <c r="O444">
        <v>1</v>
      </c>
      <c r="P444">
        <v>4</v>
      </c>
    </row>
    <row r="445" spans="1:16" x14ac:dyDescent="0.3">
      <c r="A445" s="7" t="s">
        <v>252</v>
      </c>
      <c r="B445" t="s">
        <v>256</v>
      </c>
      <c r="C445" t="s">
        <v>249</v>
      </c>
      <c r="D445" s="1">
        <v>45343</v>
      </c>
      <c r="E445" s="17">
        <v>0.25</v>
      </c>
      <c r="F445" s="17">
        <v>0.25694444444444442</v>
      </c>
      <c r="H445" s="4" t="s">
        <v>203</v>
      </c>
      <c r="I445" s="5" t="s">
        <v>205</v>
      </c>
      <c r="J445" s="5" t="s">
        <v>206</v>
      </c>
      <c r="K445">
        <v>1</v>
      </c>
      <c r="L445">
        <v>1</v>
      </c>
      <c r="M445">
        <v>1</v>
      </c>
      <c r="N445">
        <v>4</v>
      </c>
      <c r="O445">
        <v>1</v>
      </c>
      <c r="P445">
        <v>4</v>
      </c>
    </row>
    <row r="446" spans="1:16" x14ac:dyDescent="0.3">
      <c r="A446" s="7" t="s">
        <v>250</v>
      </c>
      <c r="B446" t="s">
        <v>257</v>
      </c>
      <c r="C446" t="s">
        <v>249</v>
      </c>
      <c r="D446" s="1">
        <v>45343</v>
      </c>
      <c r="E446" s="17">
        <v>0.25</v>
      </c>
      <c r="F446" s="17">
        <v>0.25694444444444398</v>
      </c>
      <c r="H446" s="4" t="s">
        <v>203</v>
      </c>
      <c r="I446" s="5" t="s">
        <v>205</v>
      </c>
      <c r="J446" s="5" t="s">
        <v>206</v>
      </c>
      <c r="K446">
        <v>1</v>
      </c>
      <c r="L446">
        <v>1</v>
      </c>
      <c r="M446">
        <v>1</v>
      </c>
      <c r="N446">
        <v>4</v>
      </c>
      <c r="O446">
        <v>1</v>
      </c>
      <c r="P446">
        <v>4</v>
      </c>
    </row>
    <row r="447" spans="1:16" x14ac:dyDescent="0.3">
      <c r="A447" s="7" t="s">
        <v>262</v>
      </c>
      <c r="B447" t="s">
        <v>263</v>
      </c>
      <c r="C447" t="s">
        <v>249</v>
      </c>
      <c r="D447" s="1">
        <v>45343</v>
      </c>
      <c r="E447" s="17">
        <v>0.25</v>
      </c>
      <c r="F447" s="17">
        <v>0.25694444444444398</v>
      </c>
      <c r="H447" s="4" t="s">
        <v>203</v>
      </c>
      <c r="I447" s="5" t="s">
        <v>205</v>
      </c>
      <c r="J447" s="5" t="s">
        <v>206</v>
      </c>
      <c r="K447">
        <v>1</v>
      </c>
      <c r="L447">
        <v>1</v>
      </c>
      <c r="M447">
        <v>1</v>
      </c>
      <c r="N447">
        <v>4</v>
      </c>
      <c r="O447">
        <v>1</v>
      </c>
      <c r="P447">
        <v>4</v>
      </c>
    </row>
    <row r="448" spans="1:16" x14ac:dyDescent="0.3">
      <c r="A448" s="7" t="s">
        <v>253</v>
      </c>
      <c r="B448" t="s">
        <v>255</v>
      </c>
      <c r="C448" t="s">
        <v>249</v>
      </c>
      <c r="D448" s="1">
        <v>45343</v>
      </c>
      <c r="E448" s="17">
        <v>0.25</v>
      </c>
      <c r="F448" s="17">
        <v>0.25694444444444398</v>
      </c>
      <c r="H448" s="4" t="s">
        <v>203</v>
      </c>
      <c r="I448" s="5" t="s">
        <v>205</v>
      </c>
      <c r="J448" s="5" t="s">
        <v>206</v>
      </c>
      <c r="K448">
        <v>1</v>
      </c>
      <c r="L448">
        <v>1</v>
      </c>
      <c r="M448">
        <v>1</v>
      </c>
      <c r="N448">
        <v>4</v>
      </c>
      <c r="O448">
        <v>1</v>
      </c>
      <c r="P448">
        <v>4</v>
      </c>
    </row>
    <row r="449" spans="1:16" x14ac:dyDescent="0.3">
      <c r="A449" s="7" t="s">
        <v>260</v>
      </c>
      <c r="B449" t="s">
        <v>258</v>
      </c>
      <c r="C449" t="s">
        <v>249</v>
      </c>
      <c r="D449" s="1">
        <v>45343</v>
      </c>
      <c r="E449" s="17">
        <v>0.25</v>
      </c>
      <c r="F449" s="17">
        <v>0.25694444444444398</v>
      </c>
      <c r="H449" s="4" t="s">
        <v>203</v>
      </c>
      <c r="I449" s="5" t="s">
        <v>205</v>
      </c>
      <c r="J449" s="5" t="s">
        <v>206</v>
      </c>
      <c r="K449">
        <v>1</v>
      </c>
      <c r="L449">
        <v>1</v>
      </c>
      <c r="M449">
        <v>1</v>
      </c>
      <c r="N449">
        <v>4</v>
      </c>
      <c r="O449">
        <v>1</v>
      </c>
      <c r="P449">
        <v>4</v>
      </c>
    </row>
    <row r="450" spans="1:16" x14ac:dyDescent="0.3">
      <c r="A450" s="7" t="s">
        <v>250</v>
      </c>
      <c r="B450" t="s">
        <v>257</v>
      </c>
      <c r="C450" s="7" t="s">
        <v>249</v>
      </c>
      <c r="D450" s="1">
        <v>45342</v>
      </c>
      <c r="E450" s="17">
        <v>0.25</v>
      </c>
      <c r="F450" s="17">
        <v>0.25694444444444398</v>
      </c>
      <c r="H450" t="s">
        <v>40</v>
      </c>
      <c r="I450" s="2" t="s">
        <v>41</v>
      </c>
      <c r="J450" s="2" t="s">
        <v>42</v>
      </c>
      <c r="K450">
        <v>2</v>
      </c>
      <c r="L450">
        <v>1</v>
      </c>
      <c r="M450">
        <v>1</v>
      </c>
      <c r="N450">
        <v>5</v>
      </c>
      <c r="O450">
        <v>1</v>
      </c>
      <c r="P450">
        <v>1</v>
      </c>
    </row>
    <row r="451" spans="1:16" x14ac:dyDescent="0.3">
      <c r="A451" s="7" t="s">
        <v>275</v>
      </c>
      <c r="B451" t="s">
        <v>274</v>
      </c>
      <c r="C451" t="s">
        <v>249</v>
      </c>
      <c r="D451" s="1">
        <v>45342</v>
      </c>
      <c r="E451" s="17">
        <v>0.25</v>
      </c>
      <c r="F451" s="17">
        <v>0.25694444444444398</v>
      </c>
      <c r="H451" t="s">
        <v>40</v>
      </c>
      <c r="I451" s="2" t="s">
        <v>41</v>
      </c>
      <c r="J451" s="2" t="s">
        <v>42</v>
      </c>
      <c r="K451">
        <v>2</v>
      </c>
      <c r="L451">
        <v>1</v>
      </c>
      <c r="M451">
        <v>1</v>
      </c>
      <c r="N451">
        <v>5</v>
      </c>
      <c r="O451">
        <v>1</v>
      </c>
      <c r="P451">
        <v>1</v>
      </c>
    </row>
    <row r="452" spans="1:16" x14ac:dyDescent="0.3">
      <c r="A452" s="7" t="s">
        <v>253</v>
      </c>
      <c r="B452" t="s">
        <v>255</v>
      </c>
      <c r="C452" s="7" t="s">
        <v>249</v>
      </c>
      <c r="D452" s="1">
        <v>45342</v>
      </c>
      <c r="E452" s="17">
        <v>0.25</v>
      </c>
      <c r="F452" s="17">
        <v>0.25694444444444398</v>
      </c>
      <c r="H452" t="s">
        <v>40</v>
      </c>
      <c r="I452" s="2" t="s">
        <v>41</v>
      </c>
      <c r="J452" s="2" t="s">
        <v>42</v>
      </c>
      <c r="K452">
        <v>2</v>
      </c>
      <c r="L452">
        <v>1</v>
      </c>
      <c r="M452">
        <v>1</v>
      </c>
      <c r="N452">
        <v>5</v>
      </c>
      <c r="O452">
        <v>1</v>
      </c>
      <c r="P452">
        <v>1</v>
      </c>
    </row>
    <row r="453" spans="1:16" x14ac:dyDescent="0.3">
      <c r="A453" s="7" t="s">
        <v>262</v>
      </c>
      <c r="B453" t="s">
        <v>263</v>
      </c>
      <c r="C453" t="s">
        <v>249</v>
      </c>
      <c r="D453" s="1">
        <v>45342</v>
      </c>
      <c r="E453" s="17">
        <v>0.25</v>
      </c>
      <c r="F453" s="17">
        <v>0.25694444444444398</v>
      </c>
      <c r="H453" t="s">
        <v>40</v>
      </c>
      <c r="I453" s="2" t="s">
        <v>41</v>
      </c>
      <c r="J453" s="2" t="s">
        <v>42</v>
      </c>
      <c r="K453">
        <v>2</v>
      </c>
      <c r="L453">
        <v>1</v>
      </c>
      <c r="M453">
        <v>1</v>
      </c>
      <c r="N453">
        <v>5</v>
      </c>
      <c r="O453">
        <v>1</v>
      </c>
      <c r="P453">
        <v>1</v>
      </c>
    </row>
    <row r="454" spans="1:16" x14ac:dyDescent="0.3">
      <c r="A454" s="7" t="s">
        <v>273</v>
      </c>
      <c r="B454" t="s">
        <v>272</v>
      </c>
      <c r="C454" t="s">
        <v>264</v>
      </c>
      <c r="D454" s="1">
        <v>45342</v>
      </c>
      <c r="E454" s="17">
        <v>0.25</v>
      </c>
      <c r="F454" s="17">
        <v>0.25694444444444398</v>
      </c>
      <c r="H454" t="s">
        <v>40</v>
      </c>
      <c r="I454" s="2" t="s">
        <v>41</v>
      </c>
      <c r="J454" s="2" t="s">
        <v>42</v>
      </c>
      <c r="K454">
        <v>2</v>
      </c>
      <c r="L454">
        <v>1</v>
      </c>
      <c r="M454">
        <v>1</v>
      </c>
      <c r="N454">
        <v>5</v>
      </c>
      <c r="O454">
        <v>1</v>
      </c>
      <c r="P454">
        <v>1</v>
      </c>
    </row>
    <row r="455" spans="1:16" x14ac:dyDescent="0.3">
      <c r="A455" s="7" t="s">
        <v>251</v>
      </c>
      <c r="B455" t="s">
        <v>248</v>
      </c>
      <c r="C455" t="s">
        <v>249</v>
      </c>
      <c r="D455" s="1">
        <v>45342</v>
      </c>
      <c r="E455" s="17">
        <v>0.25</v>
      </c>
      <c r="F455" s="17">
        <v>0.25694444444444398</v>
      </c>
      <c r="H455" t="s">
        <v>40</v>
      </c>
      <c r="I455" s="2" t="s">
        <v>41</v>
      </c>
      <c r="J455" s="2" t="s">
        <v>42</v>
      </c>
      <c r="K455">
        <v>2</v>
      </c>
      <c r="L455">
        <v>1</v>
      </c>
      <c r="M455">
        <v>1</v>
      </c>
      <c r="N455">
        <v>5</v>
      </c>
      <c r="O455">
        <v>1</v>
      </c>
      <c r="P455">
        <v>1</v>
      </c>
    </row>
    <row r="456" spans="1:16" x14ac:dyDescent="0.3">
      <c r="A456" s="7" t="s">
        <v>275</v>
      </c>
      <c r="B456" t="s">
        <v>274</v>
      </c>
      <c r="C456" t="s">
        <v>249</v>
      </c>
      <c r="D456" s="1">
        <v>45343</v>
      </c>
      <c r="E456" s="17">
        <v>0.25</v>
      </c>
      <c r="F456" s="17">
        <v>0.25694444444444398</v>
      </c>
      <c r="H456" t="s">
        <v>40</v>
      </c>
      <c r="I456" s="2" t="s">
        <v>41</v>
      </c>
      <c r="J456" s="2" t="s">
        <v>42</v>
      </c>
      <c r="K456">
        <v>2</v>
      </c>
      <c r="L456">
        <v>1</v>
      </c>
      <c r="M456">
        <v>1</v>
      </c>
      <c r="N456">
        <v>4</v>
      </c>
      <c r="O456">
        <v>1</v>
      </c>
      <c r="P456">
        <v>4</v>
      </c>
    </row>
    <row r="457" spans="1:16" x14ac:dyDescent="0.3">
      <c r="A457" s="7" t="s">
        <v>253</v>
      </c>
      <c r="B457" t="s">
        <v>255</v>
      </c>
      <c r="C457" t="s">
        <v>249</v>
      </c>
      <c r="D457" s="1">
        <v>45343</v>
      </c>
      <c r="E457" s="17">
        <v>0.25</v>
      </c>
      <c r="F457" s="17">
        <v>0.25694444444444398</v>
      </c>
      <c r="H457" t="s">
        <v>40</v>
      </c>
      <c r="I457" s="2" t="s">
        <v>41</v>
      </c>
      <c r="J457" s="2" t="s">
        <v>42</v>
      </c>
      <c r="K457">
        <v>2</v>
      </c>
      <c r="L457">
        <v>1</v>
      </c>
      <c r="M457">
        <v>1</v>
      </c>
      <c r="N457">
        <v>4</v>
      </c>
      <c r="O457">
        <v>1</v>
      </c>
      <c r="P457">
        <v>4</v>
      </c>
    </row>
    <row r="458" spans="1:16" x14ac:dyDescent="0.3">
      <c r="A458" s="7" t="s">
        <v>262</v>
      </c>
      <c r="B458" t="s">
        <v>263</v>
      </c>
      <c r="C458" t="s">
        <v>249</v>
      </c>
      <c r="D458" s="1">
        <v>45343</v>
      </c>
      <c r="E458" s="17">
        <v>0.25</v>
      </c>
      <c r="F458" s="17">
        <v>0.25694444444444398</v>
      </c>
      <c r="H458" t="s">
        <v>40</v>
      </c>
      <c r="I458" s="2" t="s">
        <v>41</v>
      </c>
      <c r="J458" s="2" t="s">
        <v>42</v>
      </c>
      <c r="K458">
        <v>2</v>
      </c>
      <c r="L458">
        <v>1</v>
      </c>
      <c r="M458">
        <v>1</v>
      </c>
      <c r="N458">
        <v>4</v>
      </c>
      <c r="O458">
        <v>1</v>
      </c>
      <c r="P458">
        <v>4</v>
      </c>
    </row>
    <row r="459" spans="1:16" x14ac:dyDescent="0.3">
      <c r="A459" s="7" t="s">
        <v>252</v>
      </c>
      <c r="B459" t="s">
        <v>256</v>
      </c>
      <c r="C459" t="s">
        <v>249</v>
      </c>
      <c r="D459" s="1">
        <v>45343</v>
      </c>
      <c r="E459" s="17">
        <v>0.25</v>
      </c>
      <c r="F459" s="17">
        <v>0.25694444444444398</v>
      </c>
      <c r="H459" t="s">
        <v>40</v>
      </c>
      <c r="I459" s="2" t="s">
        <v>41</v>
      </c>
      <c r="J459" s="2" t="s">
        <v>42</v>
      </c>
      <c r="K459">
        <v>2</v>
      </c>
      <c r="L459">
        <v>1</v>
      </c>
      <c r="M459">
        <v>1</v>
      </c>
      <c r="N459">
        <v>4</v>
      </c>
      <c r="O459">
        <v>1</v>
      </c>
      <c r="P459">
        <v>4</v>
      </c>
    </row>
    <row r="460" spans="1:16" x14ac:dyDescent="0.3">
      <c r="A460" s="7" t="s">
        <v>260</v>
      </c>
      <c r="B460" t="s">
        <v>258</v>
      </c>
      <c r="C460" t="s">
        <v>249</v>
      </c>
      <c r="D460" s="1">
        <v>45343</v>
      </c>
      <c r="E460" s="17">
        <v>0.25</v>
      </c>
      <c r="F460" s="17">
        <v>0.25694444444444398</v>
      </c>
      <c r="H460" t="s">
        <v>40</v>
      </c>
      <c r="I460" s="2" t="s">
        <v>41</v>
      </c>
      <c r="J460" s="2" t="s">
        <v>42</v>
      </c>
      <c r="K460">
        <v>2</v>
      </c>
      <c r="L460">
        <v>1</v>
      </c>
      <c r="M460">
        <v>1</v>
      </c>
      <c r="N460">
        <v>4</v>
      </c>
      <c r="O460">
        <v>1</v>
      </c>
      <c r="P460">
        <v>4</v>
      </c>
    </row>
    <row r="461" spans="1:16" x14ac:dyDescent="0.3">
      <c r="A461" s="7" t="s">
        <v>289</v>
      </c>
      <c r="B461" t="s">
        <v>290</v>
      </c>
      <c r="C461" t="s">
        <v>249</v>
      </c>
      <c r="D461" s="1">
        <v>45343</v>
      </c>
      <c r="E461" s="17">
        <v>0.25</v>
      </c>
      <c r="F461" s="17">
        <v>0.25694444444444398</v>
      </c>
      <c r="H461" t="s">
        <v>40</v>
      </c>
      <c r="I461" s="2" t="s">
        <v>41</v>
      </c>
      <c r="J461" s="2" t="s">
        <v>42</v>
      </c>
      <c r="K461">
        <v>2</v>
      </c>
      <c r="L461">
        <v>1</v>
      </c>
      <c r="M461">
        <v>1</v>
      </c>
      <c r="N461">
        <v>4</v>
      </c>
      <c r="O461">
        <v>1</v>
      </c>
      <c r="P461">
        <v>4</v>
      </c>
    </row>
    <row r="462" spans="1:16" x14ac:dyDescent="0.3">
      <c r="A462" s="7" t="s">
        <v>250</v>
      </c>
      <c r="B462" t="s">
        <v>257</v>
      </c>
      <c r="C462" t="s">
        <v>249</v>
      </c>
      <c r="D462" s="1">
        <v>45415</v>
      </c>
      <c r="E462" s="17">
        <v>0.24861111111111112</v>
      </c>
      <c r="F462" s="17">
        <v>0.25555555555555554</v>
      </c>
      <c r="H462" s="4" t="s">
        <v>47</v>
      </c>
      <c r="I462" s="5" t="s">
        <v>49</v>
      </c>
      <c r="J462" s="5" t="s">
        <v>46</v>
      </c>
      <c r="K462">
        <v>2</v>
      </c>
      <c r="L462">
        <v>1</v>
      </c>
      <c r="M462">
        <v>1</v>
      </c>
      <c r="N462">
        <v>5</v>
      </c>
      <c r="O462">
        <v>4</v>
      </c>
      <c r="P462">
        <v>1</v>
      </c>
    </row>
    <row r="463" spans="1:16" x14ac:dyDescent="0.3">
      <c r="A463" s="7" t="s">
        <v>253</v>
      </c>
      <c r="B463" t="s">
        <v>255</v>
      </c>
      <c r="C463" t="s">
        <v>249</v>
      </c>
      <c r="D463" s="1">
        <v>45415</v>
      </c>
      <c r="E463" s="17">
        <v>0.24861111111111112</v>
      </c>
      <c r="F463" s="17">
        <v>0.25555555555555554</v>
      </c>
      <c r="H463" s="4" t="s">
        <v>47</v>
      </c>
      <c r="I463" s="5" t="s">
        <v>49</v>
      </c>
      <c r="J463" s="5" t="s">
        <v>46</v>
      </c>
      <c r="K463">
        <v>2</v>
      </c>
      <c r="L463">
        <v>1</v>
      </c>
      <c r="M463">
        <v>1</v>
      </c>
      <c r="N463">
        <v>5</v>
      </c>
      <c r="O463">
        <v>4</v>
      </c>
      <c r="P463">
        <v>1</v>
      </c>
    </row>
    <row r="464" spans="1:16" x14ac:dyDescent="0.3">
      <c r="A464" s="7" t="s">
        <v>252</v>
      </c>
      <c r="B464" t="s">
        <v>256</v>
      </c>
      <c r="C464" t="s">
        <v>249</v>
      </c>
      <c r="D464" s="1">
        <v>45415</v>
      </c>
      <c r="E464" s="17">
        <v>0.24861111111111112</v>
      </c>
      <c r="F464" s="17">
        <v>0.25555555555555554</v>
      </c>
      <c r="H464" s="4" t="s">
        <v>47</v>
      </c>
      <c r="I464" s="5" t="s">
        <v>49</v>
      </c>
      <c r="J464" s="5" t="s">
        <v>46</v>
      </c>
      <c r="K464">
        <v>2</v>
      </c>
      <c r="L464">
        <v>1</v>
      </c>
      <c r="M464">
        <v>1</v>
      </c>
      <c r="N464">
        <v>5</v>
      </c>
      <c r="O464">
        <v>4</v>
      </c>
      <c r="P464">
        <v>1</v>
      </c>
    </row>
    <row r="465" spans="1:16" x14ac:dyDescent="0.3">
      <c r="A465" s="7" t="s">
        <v>275</v>
      </c>
      <c r="B465" t="s">
        <v>274</v>
      </c>
      <c r="C465" t="s">
        <v>249</v>
      </c>
      <c r="D465" s="1">
        <v>45415</v>
      </c>
      <c r="E465" s="17">
        <v>0.24861111111111112</v>
      </c>
      <c r="F465" s="17">
        <v>0.25555555555555554</v>
      </c>
      <c r="H465" s="4" t="s">
        <v>47</v>
      </c>
      <c r="I465" s="5" t="s">
        <v>49</v>
      </c>
      <c r="J465" s="5" t="s">
        <v>46</v>
      </c>
      <c r="K465">
        <v>2</v>
      </c>
      <c r="L465">
        <v>1</v>
      </c>
      <c r="M465">
        <v>1</v>
      </c>
      <c r="N465">
        <v>5</v>
      </c>
      <c r="O465">
        <v>4</v>
      </c>
      <c r="P465">
        <v>1</v>
      </c>
    </row>
    <row r="466" spans="1:16" x14ac:dyDescent="0.3">
      <c r="A466" s="7" t="s">
        <v>262</v>
      </c>
      <c r="B466" t="s">
        <v>263</v>
      </c>
      <c r="C466" t="s">
        <v>249</v>
      </c>
      <c r="D466" s="1">
        <v>45415</v>
      </c>
      <c r="E466" s="17">
        <v>0.24861111111111112</v>
      </c>
      <c r="F466" s="17">
        <v>0.25555555555555554</v>
      </c>
      <c r="H466" s="4" t="s">
        <v>47</v>
      </c>
      <c r="I466" s="5" t="s">
        <v>49</v>
      </c>
      <c r="J466" s="5" t="s">
        <v>46</v>
      </c>
      <c r="K466">
        <v>2</v>
      </c>
      <c r="L466">
        <v>1</v>
      </c>
      <c r="M466">
        <v>1</v>
      </c>
      <c r="N466">
        <v>5</v>
      </c>
      <c r="O466">
        <v>4</v>
      </c>
      <c r="P466">
        <v>1</v>
      </c>
    </row>
    <row r="467" spans="1:16" x14ac:dyDescent="0.3">
      <c r="A467" s="7" t="s">
        <v>250</v>
      </c>
      <c r="B467" t="s">
        <v>257</v>
      </c>
      <c r="C467" t="s">
        <v>249</v>
      </c>
      <c r="D467" s="1">
        <v>45416</v>
      </c>
      <c r="E467" s="17">
        <v>0.24861111111111112</v>
      </c>
      <c r="F467" s="17">
        <v>0.25555555555555554</v>
      </c>
      <c r="H467" s="4" t="s">
        <v>47</v>
      </c>
      <c r="I467" s="5" t="s">
        <v>49</v>
      </c>
      <c r="J467" s="5" t="s">
        <v>46</v>
      </c>
      <c r="K467">
        <v>2</v>
      </c>
      <c r="L467">
        <v>1</v>
      </c>
      <c r="M467">
        <v>1</v>
      </c>
      <c r="N467">
        <v>5</v>
      </c>
      <c r="O467">
        <v>3</v>
      </c>
      <c r="P467">
        <v>2</v>
      </c>
    </row>
    <row r="468" spans="1:16" x14ac:dyDescent="0.3">
      <c r="A468" s="7" t="s">
        <v>252</v>
      </c>
      <c r="B468" t="s">
        <v>256</v>
      </c>
      <c r="C468" t="s">
        <v>249</v>
      </c>
      <c r="D468" s="1">
        <v>45416</v>
      </c>
      <c r="E468" s="17">
        <v>0.24861111111111112</v>
      </c>
      <c r="F468" s="17">
        <v>0.25555555555555554</v>
      </c>
      <c r="H468" s="4" t="s">
        <v>47</v>
      </c>
      <c r="I468" s="5" t="s">
        <v>49</v>
      </c>
      <c r="J468" s="5" t="s">
        <v>46</v>
      </c>
      <c r="K468">
        <v>2</v>
      </c>
      <c r="L468">
        <v>1</v>
      </c>
      <c r="M468">
        <v>1</v>
      </c>
      <c r="N468">
        <v>5</v>
      </c>
      <c r="O468">
        <v>3</v>
      </c>
      <c r="P468">
        <v>2</v>
      </c>
    </row>
    <row r="469" spans="1:16" x14ac:dyDescent="0.3">
      <c r="A469" s="7" t="s">
        <v>251</v>
      </c>
      <c r="B469" t="s">
        <v>248</v>
      </c>
      <c r="C469" t="s">
        <v>249</v>
      </c>
      <c r="D469" s="1">
        <v>45416</v>
      </c>
      <c r="E469" s="17">
        <v>0.24861111111111101</v>
      </c>
      <c r="F469" s="17">
        <v>0.25555555555555598</v>
      </c>
      <c r="H469" s="4" t="s">
        <v>47</v>
      </c>
      <c r="I469" s="5" t="s">
        <v>49</v>
      </c>
      <c r="J469" s="5" t="s">
        <v>46</v>
      </c>
      <c r="K469">
        <v>2</v>
      </c>
      <c r="L469">
        <v>1</v>
      </c>
      <c r="M469">
        <v>1</v>
      </c>
      <c r="N469">
        <v>5</v>
      </c>
      <c r="O469">
        <v>3</v>
      </c>
      <c r="P469">
        <v>2</v>
      </c>
    </row>
    <row r="470" spans="1:16" x14ac:dyDescent="0.3">
      <c r="A470" s="7" t="s">
        <v>275</v>
      </c>
      <c r="B470" t="s">
        <v>274</v>
      </c>
      <c r="C470" t="s">
        <v>249</v>
      </c>
      <c r="D470" s="1">
        <v>45416</v>
      </c>
      <c r="E470" s="17">
        <v>0.24861111111111101</v>
      </c>
      <c r="F470" s="17">
        <v>0.25555555555555598</v>
      </c>
      <c r="H470" s="4" t="s">
        <v>47</v>
      </c>
      <c r="I470" s="5" t="s">
        <v>49</v>
      </c>
      <c r="J470" s="5" t="s">
        <v>46</v>
      </c>
      <c r="K470">
        <v>2</v>
      </c>
      <c r="L470">
        <v>1</v>
      </c>
      <c r="M470">
        <v>1</v>
      </c>
      <c r="N470">
        <v>5</v>
      </c>
      <c r="O470">
        <v>3</v>
      </c>
      <c r="P470">
        <v>2</v>
      </c>
    </row>
    <row r="471" spans="1:16" x14ac:dyDescent="0.3">
      <c r="A471" s="7" t="s">
        <v>253</v>
      </c>
      <c r="B471" t="s">
        <v>255</v>
      </c>
      <c r="C471" t="s">
        <v>249</v>
      </c>
      <c r="D471" s="1">
        <v>45416</v>
      </c>
      <c r="E471" s="17">
        <v>0.24861111111111101</v>
      </c>
      <c r="F471" s="17">
        <v>0.25555555555555598</v>
      </c>
      <c r="H471" s="4" t="s">
        <v>47</v>
      </c>
      <c r="I471" s="5" t="s">
        <v>49</v>
      </c>
      <c r="J471" s="5" t="s">
        <v>46</v>
      </c>
      <c r="K471">
        <v>2</v>
      </c>
      <c r="L471">
        <v>1</v>
      </c>
      <c r="M471">
        <v>1</v>
      </c>
      <c r="N471">
        <v>5</v>
      </c>
      <c r="O471">
        <v>3</v>
      </c>
      <c r="P471">
        <v>2</v>
      </c>
    </row>
    <row r="472" spans="1:16" x14ac:dyDescent="0.3">
      <c r="A472" s="7" t="s">
        <v>262</v>
      </c>
      <c r="B472" t="s">
        <v>263</v>
      </c>
      <c r="C472" t="s">
        <v>249</v>
      </c>
      <c r="D472" s="1">
        <v>45416</v>
      </c>
      <c r="E472" s="17">
        <v>0.24861111111111101</v>
      </c>
      <c r="F472" s="17">
        <v>0.25555555555555598</v>
      </c>
      <c r="H472" s="4" t="s">
        <v>47</v>
      </c>
      <c r="I472" s="5" t="s">
        <v>49</v>
      </c>
      <c r="J472" s="5" t="s">
        <v>46</v>
      </c>
      <c r="K472">
        <v>2</v>
      </c>
      <c r="L472">
        <v>1</v>
      </c>
      <c r="M472">
        <v>1</v>
      </c>
      <c r="N472">
        <v>5</v>
      </c>
      <c r="O472">
        <v>3</v>
      </c>
      <c r="P472">
        <v>2</v>
      </c>
    </row>
    <row r="473" spans="1:16" x14ac:dyDescent="0.3">
      <c r="A473" s="7" t="s">
        <v>250</v>
      </c>
      <c r="B473" t="s">
        <v>257</v>
      </c>
      <c r="C473" t="s">
        <v>249</v>
      </c>
      <c r="D473" s="1">
        <v>45393</v>
      </c>
      <c r="E473" s="17">
        <v>0.25</v>
      </c>
      <c r="F473" s="17">
        <v>0.25694444444444442</v>
      </c>
      <c r="G473" t="s">
        <v>288</v>
      </c>
      <c r="H473" t="s">
        <v>212</v>
      </c>
      <c r="I473" s="2" t="s">
        <v>217</v>
      </c>
      <c r="J473" s="2" t="s">
        <v>221</v>
      </c>
      <c r="K473">
        <v>4</v>
      </c>
      <c r="L473">
        <v>1</v>
      </c>
      <c r="M473">
        <v>1</v>
      </c>
      <c r="N473">
        <v>4</v>
      </c>
      <c r="O473">
        <v>1</v>
      </c>
      <c r="P473">
        <v>1</v>
      </c>
    </row>
    <row r="474" spans="1:16" x14ac:dyDescent="0.3">
      <c r="A474" s="7" t="s">
        <v>253</v>
      </c>
      <c r="B474" t="s">
        <v>255</v>
      </c>
      <c r="C474" t="s">
        <v>249</v>
      </c>
      <c r="D474" s="1">
        <v>45393</v>
      </c>
      <c r="E474" s="17">
        <v>0.25</v>
      </c>
      <c r="F474" s="17">
        <v>0.25694444444444442</v>
      </c>
      <c r="G474" t="s">
        <v>288</v>
      </c>
      <c r="H474" t="s">
        <v>212</v>
      </c>
      <c r="I474" s="2" t="s">
        <v>217</v>
      </c>
      <c r="J474" s="2" t="s">
        <v>221</v>
      </c>
      <c r="K474">
        <v>4</v>
      </c>
      <c r="L474">
        <v>1</v>
      </c>
      <c r="M474">
        <v>1</v>
      </c>
      <c r="N474">
        <v>4</v>
      </c>
      <c r="O474">
        <v>1</v>
      </c>
      <c r="P474">
        <v>1</v>
      </c>
    </row>
    <row r="475" spans="1:16" x14ac:dyDescent="0.3">
      <c r="A475" s="7" t="s">
        <v>252</v>
      </c>
      <c r="B475" t="s">
        <v>256</v>
      </c>
      <c r="C475" t="s">
        <v>249</v>
      </c>
      <c r="D475" s="1">
        <v>45393</v>
      </c>
      <c r="E475" s="17">
        <v>0.25</v>
      </c>
      <c r="F475" s="17">
        <v>0.25694444444444442</v>
      </c>
      <c r="G475" t="s">
        <v>288</v>
      </c>
      <c r="H475" t="s">
        <v>212</v>
      </c>
      <c r="I475" s="2" t="s">
        <v>217</v>
      </c>
      <c r="J475" s="2" t="s">
        <v>221</v>
      </c>
      <c r="K475">
        <v>4</v>
      </c>
      <c r="L475">
        <v>1</v>
      </c>
      <c r="M475">
        <v>1</v>
      </c>
      <c r="N475">
        <v>4</v>
      </c>
      <c r="O475">
        <v>1</v>
      </c>
      <c r="P475">
        <v>1</v>
      </c>
    </row>
    <row r="476" spans="1:16" x14ac:dyDescent="0.3">
      <c r="A476" s="7" t="s">
        <v>251</v>
      </c>
      <c r="B476" t="s">
        <v>248</v>
      </c>
      <c r="C476" t="s">
        <v>249</v>
      </c>
      <c r="D476" s="1">
        <v>45393</v>
      </c>
      <c r="E476" s="17">
        <v>0.25</v>
      </c>
      <c r="F476" s="17">
        <v>0.25694444444444442</v>
      </c>
      <c r="G476" t="s">
        <v>288</v>
      </c>
      <c r="H476" t="s">
        <v>212</v>
      </c>
      <c r="I476" s="2" t="s">
        <v>217</v>
      </c>
      <c r="J476" s="2" t="s">
        <v>221</v>
      </c>
      <c r="K476">
        <v>4</v>
      </c>
      <c r="L476">
        <v>1</v>
      </c>
      <c r="M476">
        <v>1</v>
      </c>
      <c r="N476">
        <v>4</v>
      </c>
      <c r="O476">
        <v>1</v>
      </c>
      <c r="P476">
        <v>1</v>
      </c>
    </row>
    <row r="477" spans="1:16" x14ac:dyDescent="0.3">
      <c r="A477" s="7" t="s">
        <v>262</v>
      </c>
      <c r="B477" t="s">
        <v>263</v>
      </c>
      <c r="C477" t="s">
        <v>249</v>
      </c>
      <c r="D477" s="1">
        <v>45393</v>
      </c>
      <c r="E477" s="17">
        <v>0.25</v>
      </c>
      <c r="F477" s="17">
        <v>0.25694444444444442</v>
      </c>
      <c r="G477" t="s">
        <v>288</v>
      </c>
      <c r="H477" t="s">
        <v>212</v>
      </c>
      <c r="I477" s="2" t="s">
        <v>217</v>
      </c>
      <c r="J477" s="2" t="s">
        <v>221</v>
      </c>
      <c r="K477">
        <v>4</v>
      </c>
      <c r="L477">
        <v>1</v>
      </c>
      <c r="M477">
        <v>1</v>
      </c>
      <c r="N477">
        <v>4</v>
      </c>
      <c r="O477">
        <v>1</v>
      </c>
      <c r="P477">
        <v>1</v>
      </c>
    </row>
    <row r="478" spans="1:16" x14ac:dyDescent="0.3">
      <c r="A478" s="7" t="s">
        <v>275</v>
      </c>
      <c r="B478" t="s">
        <v>274</v>
      </c>
      <c r="C478" t="s">
        <v>249</v>
      </c>
      <c r="D478" s="1">
        <v>45393</v>
      </c>
      <c r="E478" s="17">
        <v>0.25</v>
      </c>
      <c r="F478" s="17">
        <v>0.25694444444444442</v>
      </c>
      <c r="G478" t="s">
        <v>288</v>
      </c>
      <c r="H478" t="s">
        <v>212</v>
      </c>
      <c r="I478" s="2" t="s">
        <v>217</v>
      </c>
      <c r="J478" s="2" t="s">
        <v>221</v>
      </c>
      <c r="K478">
        <v>4</v>
      </c>
      <c r="L478">
        <v>1</v>
      </c>
      <c r="M478">
        <v>1</v>
      </c>
      <c r="N478">
        <v>4</v>
      </c>
      <c r="O478">
        <v>1</v>
      </c>
      <c r="P478">
        <v>1</v>
      </c>
    </row>
    <row r="479" spans="1:16" x14ac:dyDescent="0.3">
      <c r="A479" s="7" t="s">
        <v>275</v>
      </c>
      <c r="B479" t="s">
        <v>274</v>
      </c>
      <c r="C479" t="s">
        <v>249</v>
      </c>
      <c r="D479" s="1">
        <v>45394</v>
      </c>
      <c r="E479" s="17">
        <v>0.25</v>
      </c>
      <c r="F479" s="17">
        <v>0.25694444444444442</v>
      </c>
      <c r="H479" t="s">
        <v>212</v>
      </c>
      <c r="I479" s="2" t="s">
        <v>217</v>
      </c>
      <c r="J479" s="2" t="s">
        <v>221</v>
      </c>
      <c r="K479">
        <v>2</v>
      </c>
      <c r="L479">
        <v>1</v>
      </c>
      <c r="M479">
        <v>1</v>
      </c>
      <c r="N479">
        <v>5</v>
      </c>
      <c r="O479">
        <v>2</v>
      </c>
      <c r="P479">
        <v>1</v>
      </c>
    </row>
    <row r="480" spans="1:16" x14ac:dyDescent="0.3">
      <c r="A480" s="7" t="s">
        <v>253</v>
      </c>
      <c r="B480" t="s">
        <v>255</v>
      </c>
      <c r="C480" t="s">
        <v>249</v>
      </c>
      <c r="D480" s="1">
        <v>45394</v>
      </c>
      <c r="E480" s="17">
        <v>0.25</v>
      </c>
      <c r="F480" s="17">
        <v>0.25694444444444442</v>
      </c>
      <c r="H480" t="s">
        <v>212</v>
      </c>
      <c r="I480" s="2" t="s">
        <v>217</v>
      </c>
      <c r="J480" s="2" t="s">
        <v>221</v>
      </c>
      <c r="K480">
        <v>2</v>
      </c>
      <c r="L480">
        <v>1</v>
      </c>
      <c r="M480">
        <v>1</v>
      </c>
      <c r="N480">
        <v>5</v>
      </c>
      <c r="O480">
        <v>2</v>
      </c>
      <c r="P480">
        <v>1</v>
      </c>
    </row>
    <row r="481" spans="1:16" x14ac:dyDescent="0.3">
      <c r="A481" s="7" t="s">
        <v>251</v>
      </c>
      <c r="B481" t="s">
        <v>248</v>
      </c>
      <c r="C481" t="s">
        <v>249</v>
      </c>
      <c r="D481" s="1">
        <v>45394</v>
      </c>
      <c r="E481" s="17">
        <v>0.25</v>
      </c>
      <c r="F481" s="17">
        <v>0.25694444444444398</v>
      </c>
      <c r="H481" t="s">
        <v>212</v>
      </c>
      <c r="I481" s="2" t="s">
        <v>217</v>
      </c>
      <c r="J481" s="2" t="s">
        <v>221</v>
      </c>
      <c r="K481">
        <v>2</v>
      </c>
      <c r="L481">
        <v>1</v>
      </c>
      <c r="M481">
        <v>1</v>
      </c>
      <c r="N481">
        <v>5</v>
      </c>
      <c r="O481">
        <v>2</v>
      </c>
      <c r="P481">
        <v>1</v>
      </c>
    </row>
    <row r="482" spans="1:16" x14ac:dyDescent="0.3">
      <c r="A482" s="7" t="s">
        <v>250</v>
      </c>
      <c r="B482" t="s">
        <v>257</v>
      </c>
      <c r="C482" t="s">
        <v>249</v>
      </c>
      <c r="D482" s="1">
        <v>45394</v>
      </c>
      <c r="E482" s="17">
        <v>0.25</v>
      </c>
      <c r="F482" s="17">
        <v>0.25694444444444398</v>
      </c>
      <c r="H482" t="s">
        <v>212</v>
      </c>
      <c r="I482" s="2" t="s">
        <v>217</v>
      </c>
      <c r="J482" s="2" t="s">
        <v>221</v>
      </c>
      <c r="K482">
        <v>2</v>
      </c>
      <c r="L482">
        <v>1</v>
      </c>
      <c r="M482">
        <v>1</v>
      </c>
      <c r="N482">
        <v>5</v>
      </c>
      <c r="O482">
        <v>2</v>
      </c>
      <c r="P482">
        <v>1</v>
      </c>
    </row>
    <row r="483" spans="1:16" x14ac:dyDescent="0.3">
      <c r="A483" s="7" t="s">
        <v>252</v>
      </c>
      <c r="B483" t="s">
        <v>256</v>
      </c>
      <c r="C483" t="s">
        <v>249</v>
      </c>
      <c r="D483" s="1">
        <v>45394</v>
      </c>
      <c r="E483" s="17">
        <v>0.25</v>
      </c>
      <c r="F483" s="17">
        <v>0.25694444444444398</v>
      </c>
      <c r="H483" t="s">
        <v>212</v>
      </c>
      <c r="I483" s="2" t="s">
        <v>217</v>
      </c>
      <c r="J483" s="2" t="s">
        <v>221</v>
      </c>
      <c r="K483">
        <v>2</v>
      </c>
      <c r="L483">
        <v>1</v>
      </c>
      <c r="M483">
        <v>1</v>
      </c>
      <c r="N483">
        <v>5</v>
      </c>
      <c r="O483">
        <v>2</v>
      </c>
      <c r="P483">
        <v>1</v>
      </c>
    </row>
    <row r="484" spans="1:16" x14ac:dyDescent="0.3">
      <c r="A484" s="7" t="s">
        <v>262</v>
      </c>
      <c r="B484" t="s">
        <v>263</v>
      </c>
      <c r="C484" t="s">
        <v>249</v>
      </c>
      <c r="D484" s="1">
        <v>45394</v>
      </c>
      <c r="E484" s="17">
        <v>0.25</v>
      </c>
      <c r="F484" s="17">
        <v>0.25694444444444398</v>
      </c>
      <c r="H484" t="s">
        <v>212</v>
      </c>
      <c r="I484" s="2" t="s">
        <v>217</v>
      </c>
      <c r="J484" s="2" t="s">
        <v>221</v>
      </c>
      <c r="K484">
        <v>2</v>
      </c>
      <c r="L484">
        <v>1</v>
      </c>
      <c r="M484">
        <v>1</v>
      </c>
      <c r="N484">
        <v>5</v>
      </c>
      <c r="O484">
        <v>2</v>
      </c>
      <c r="P484">
        <v>1</v>
      </c>
    </row>
    <row r="485" spans="1:16" x14ac:dyDescent="0.3">
      <c r="A485" s="7" t="s">
        <v>289</v>
      </c>
      <c r="B485" t="s">
        <v>290</v>
      </c>
      <c r="C485" t="s">
        <v>249</v>
      </c>
      <c r="D485" s="1">
        <v>45394</v>
      </c>
      <c r="E485" s="17">
        <v>0.25</v>
      </c>
      <c r="F485" s="17">
        <v>0.25694444444444398</v>
      </c>
      <c r="H485" t="s">
        <v>212</v>
      </c>
      <c r="I485" s="2" t="s">
        <v>217</v>
      </c>
      <c r="J485" s="2" t="s">
        <v>221</v>
      </c>
      <c r="K485">
        <v>2</v>
      </c>
      <c r="L485">
        <v>1</v>
      </c>
      <c r="M485">
        <v>1</v>
      </c>
      <c r="N485">
        <v>5</v>
      </c>
      <c r="O485">
        <v>2</v>
      </c>
      <c r="P485">
        <v>1</v>
      </c>
    </row>
    <row r="486" spans="1:16" x14ac:dyDescent="0.3">
      <c r="A486" s="7" t="s">
        <v>250</v>
      </c>
      <c r="B486" t="s">
        <v>257</v>
      </c>
      <c r="C486" t="s">
        <v>249</v>
      </c>
      <c r="D486" s="1">
        <v>45393</v>
      </c>
      <c r="E486" s="17">
        <v>0.25</v>
      </c>
      <c r="F486" s="17">
        <v>0.25694444444444442</v>
      </c>
      <c r="H486" s="4" t="s">
        <v>213</v>
      </c>
      <c r="I486" s="5" t="s">
        <v>223</v>
      </c>
      <c r="J486" s="5" t="s">
        <v>224</v>
      </c>
      <c r="K486">
        <v>4</v>
      </c>
      <c r="L486">
        <v>1</v>
      </c>
      <c r="M486">
        <v>1</v>
      </c>
      <c r="N486">
        <v>4</v>
      </c>
      <c r="O486">
        <v>1</v>
      </c>
      <c r="P486">
        <v>1</v>
      </c>
    </row>
    <row r="487" spans="1:16" x14ac:dyDescent="0.3">
      <c r="A487" s="7" t="s">
        <v>252</v>
      </c>
      <c r="B487" t="s">
        <v>256</v>
      </c>
      <c r="C487" t="s">
        <v>249</v>
      </c>
      <c r="D487" s="1">
        <v>45393</v>
      </c>
      <c r="E487" s="17">
        <v>0.25</v>
      </c>
      <c r="F487" s="17">
        <v>0.25694444444444442</v>
      </c>
      <c r="H487" s="4" t="s">
        <v>213</v>
      </c>
      <c r="I487" s="5" t="s">
        <v>223</v>
      </c>
      <c r="J487" s="5" t="s">
        <v>224</v>
      </c>
      <c r="K487">
        <v>4</v>
      </c>
      <c r="L487">
        <v>1</v>
      </c>
      <c r="M487">
        <v>1</v>
      </c>
      <c r="N487">
        <v>4</v>
      </c>
      <c r="O487">
        <v>1</v>
      </c>
      <c r="P487">
        <v>1</v>
      </c>
    </row>
    <row r="488" spans="1:16" x14ac:dyDescent="0.3">
      <c r="A488" s="7" t="s">
        <v>253</v>
      </c>
      <c r="B488" t="s">
        <v>255</v>
      </c>
      <c r="C488" t="s">
        <v>249</v>
      </c>
      <c r="D488" s="1">
        <v>45393</v>
      </c>
      <c r="E488" s="17">
        <v>0.25</v>
      </c>
      <c r="F488" s="17">
        <v>0.25694444444444398</v>
      </c>
      <c r="H488" s="4" t="s">
        <v>213</v>
      </c>
      <c r="I488" s="5" t="s">
        <v>223</v>
      </c>
      <c r="J488" s="5" t="s">
        <v>224</v>
      </c>
      <c r="K488">
        <v>4</v>
      </c>
      <c r="L488">
        <v>1</v>
      </c>
      <c r="M488">
        <v>1</v>
      </c>
      <c r="N488">
        <v>4</v>
      </c>
      <c r="O488">
        <v>1</v>
      </c>
      <c r="P488">
        <v>1</v>
      </c>
    </row>
    <row r="489" spans="1:16" x14ac:dyDescent="0.3">
      <c r="A489" s="7" t="s">
        <v>251</v>
      </c>
      <c r="B489" t="s">
        <v>248</v>
      </c>
      <c r="C489" t="s">
        <v>249</v>
      </c>
      <c r="D489" s="1">
        <v>45393</v>
      </c>
      <c r="E489" s="17">
        <v>0.25</v>
      </c>
      <c r="F489" s="17">
        <v>0.25694444444444398</v>
      </c>
      <c r="H489" s="4" t="s">
        <v>213</v>
      </c>
      <c r="I489" s="5" t="s">
        <v>223</v>
      </c>
      <c r="J489" s="5" t="s">
        <v>224</v>
      </c>
      <c r="K489">
        <v>4</v>
      </c>
      <c r="L489">
        <v>1</v>
      </c>
      <c r="M489">
        <v>1</v>
      </c>
      <c r="N489">
        <v>4</v>
      </c>
      <c r="O489">
        <v>1</v>
      </c>
      <c r="P489">
        <v>1</v>
      </c>
    </row>
    <row r="490" spans="1:16" x14ac:dyDescent="0.3">
      <c r="A490" s="7" t="s">
        <v>275</v>
      </c>
      <c r="B490" t="s">
        <v>274</v>
      </c>
      <c r="C490" t="s">
        <v>249</v>
      </c>
      <c r="D490" s="1">
        <v>45393</v>
      </c>
      <c r="E490" s="17">
        <v>0.25</v>
      </c>
      <c r="F490" s="17">
        <v>0.25694444444444398</v>
      </c>
      <c r="H490" s="4" t="s">
        <v>213</v>
      </c>
      <c r="I490" s="5" t="s">
        <v>223</v>
      </c>
      <c r="J490" s="5" t="s">
        <v>224</v>
      </c>
      <c r="K490">
        <v>4</v>
      </c>
      <c r="L490">
        <v>1</v>
      </c>
      <c r="M490">
        <v>1</v>
      </c>
      <c r="N490">
        <v>4</v>
      </c>
      <c r="O490">
        <v>1</v>
      </c>
      <c r="P490">
        <v>1</v>
      </c>
    </row>
    <row r="491" spans="1:16" x14ac:dyDescent="0.3">
      <c r="A491" s="7" t="s">
        <v>262</v>
      </c>
      <c r="B491" t="s">
        <v>263</v>
      </c>
      <c r="C491" t="s">
        <v>249</v>
      </c>
      <c r="D491" s="1">
        <v>45393</v>
      </c>
      <c r="E491" s="17">
        <v>0.25</v>
      </c>
      <c r="F491" s="17">
        <v>0.25694444444444398</v>
      </c>
      <c r="H491" s="4" t="s">
        <v>213</v>
      </c>
      <c r="I491" s="5" t="s">
        <v>223</v>
      </c>
      <c r="J491" s="5" t="s">
        <v>224</v>
      </c>
      <c r="K491">
        <v>4</v>
      </c>
      <c r="L491">
        <v>1</v>
      </c>
      <c r="M491">
        <v>1</v>
      </c>
      <c r="N491">
        <v>4</v>
      </c>
      <c r="O491">
        <v>1</v>
      </c>
      <c r="P491">
        <v>1</v>
      </c>
    </row>
    <row r="492" spans="1:16" x14ac:dyDescent="0.3">
      <c r="A492" s="7" t="s">
        <v>252</v>
      </c>
      <c r="B492" t="s">
        <v>256</v>
      </c>
      <c r="C492" t="s">
        <v>249</v>
      </c>
      <c r="D492" s="1">
        <v>45393</v>
      </c>
      <c r="E492" s="17">
        <v>0.25</v>
      </c>
      <c r="F492" s="17">
        <v>0.25694444444444398</v>
      </c>
      <c r="H492" t="s">
        <v>214</v>
      </c>
      <c r="I492" s="2" t="s">
        <v>218</v>
      </c>
      <c r="J492" s="2" t="s">
        <v>225</v>
      </c>
      <c r="K492">
        <v>3</v>
      </c>
      <c r="L492">
        <v>1</v>
      </c>
      <c r="M492">
        <v>1</v>
      </c>
      <c r="N492">
        <v>5</v>
      </c>
      <c r="O492">
        <v>4</v>
      </c>
      <c r="P492">
        <v>1</v>
      </c>
    </row>
    <row r="493" spans="1:16" x14ac:dyDescent="0.3">
      <c r="A493" s="7" t="s">
        <v>275</v>
      </c>
      <c r="B493" t="s">
        <v>274</v>
      </c>
      <c r="C493" t="s">
        <v>249</v>
      </c>
      <c r="D493" s="1">
        <v>45393</v>
      </c>
      <c r="E493" s="17">
        <v>0.25</v>
      </c>
      <c r="F493" s="17">
        <v>0.25694444444444398</v>
      </c>
      <c r="H493" t="s">
        <v>214</v>
      </c>
      <c r="I493" s="2" t="s">
        <v>218</v>
      </c>
      <c r="J493" s="2" t="s">
        <v>225</v>
      </c>
      <c r="K493">
        <v>3</v>
      </c>
      <c r="L493">
        <v>1</v>
      </c>
      <c r="M493">
        <v>1</v>
      </c>
      <c r="N493">
        <v>5</v>
      </c>
      <c r="O493">
        <v>4</v>
      </c>
      <c r="P493">
        <v>1</v>
      </c>
    </row>
    <row r="494" spans="1:16" x14ac:dyDescent="0.3">
      <c r="A494" s="7" t="s">
        <v>250</v>
      </c>
      <c r="B494" t="s">
        <v>257</v>
      </c>
      <c r="C494" t="s">
        <v>249</v>
      </c>
      <c r="D494" s="1">
        <v>45393</v>
      </c>
      <c r="E494" s="17">
        <v>0.25</v>
      </c>
      <c r="F494" s="17">
        <v>0.25694444444444398</v>
      </c>
      <c r="H494" t="s">
        <v>214</v>
      </c>
      <c r="I494" s="2" t="s">
        <v>218</v>
      </c>
      <c r="J494" s="2" t="s">
        <v>225</v>
      </c>
      <c r="K494">
        <v>3</v>
      </c>
      <c r="L494">
        <v>1</v>
      </c>
      <c r="M494">
        <v>1</v>
      </c>
      <c r="N494">
        <v>5</v>
      </c>
      <c r="O494">
        <v>4</v>
      </c>
      <c r="P494">
        <v>1</v>
      </c>
    </row>
    <row r="495" spans="1:16" x14ac:dyDescent="0.3">
      <c r="A495" s="7" t="s">
        <v>253</v>
      </c>
      <c r="B495" t="s">
        <v>255</v>
      </c>
      <c r="C495" t="s">
        <v>249</v>
      </c>
      <c r="D495" s="1">
        <v>45393</v>
      </c>
      <c r="E495" s="17">
        <v>0.25</v>
      </c>
      <c r="F495" s="17">
        <v>0.25694444444444398</v>
      </c>
      <c r="H495" t="s">
        <v>214</v>
      </c>
      <c r="I495" s="2" t="s">
        <v>218</v>
      </c>
      <c r="J495" s="2" t="s">
        <v>225</v>
      </c>
      <c r="K495">
        <v>3</v>
      </c>
      <c r="L495">
        <v>1</v>
      </c>
      <c r="M495">
        <v>1</v>
      </c>
      <c r="N495">
        <v>5</v>
      </c>
      <c r="O495">
        <v>4</v>
      </c>
      <c r="P495">
        <v>1</v>
      </c>
    </row>
    <row r="496" spans="1:16" x14ac:dyDescent="0.3">
      <c r="A496" s="7" t="s">
        <v>251</v>
      </c>
      <c r="B496" t="s">
        <v>248</v>
      </c>
      <c r="C496" t="s">
        <v>249</v>
      </c>
      <c r="D496" s="1">
        <v>45393</v>
      </c>
      <c r="E496" s="17">
        <v>0.25</v>
      </c>
      <c r="F496" s="17">
        <v>0.25694444444444398</v>
      </c>
      <c r="H496" t="s">
        <v>214</v>
      </c>
      <c r="I496" s="2" t="s">
        <v>218</v>
      </c>
      <c r="J496" s="2" t="s">
        <v>225</v>
      </c>
      <c r="K496">
        <v>3</v>
      </c>
      <c r="L496">
        <v>1</v>
      </c>
      <c r="M496">
        <v>1</v>
      </c>
      <c r="N496">
        <v>5</v>
      </c>
      <c r="O496">
        <v>4</v>
      </c>
      <c r="P496">
        <v>1</v>
      </c>
    </row>
    <row r="497" spans="1:16" x14ac:dyDescent="0.3">
      <c r="A497" s="7" t="s">
        <v>262</v>
      </c>
      <c r="B497" t="s">
        <v>263</v>
      </c>
      <c r="C497" t="s">
        <v>249</v>
      </c>
      <c r="D497" s="1">
        <v>45393</v>
      </c>
      <c r="E497" s="17">
        <v>0.25</v>
      </c>
      <c r="F497" s="17">
        <v>0.25694444444444398</v>
      </c>
      <c r="H497" t="s">
        <v>214</v>
      </c>
      <c r="I497" s="2" t="s">
        <v>218</v>
      </c>
      <c r="J497" s="2" t="s">
        <v>225</v>
      </c>
      <c r="K497">
        <v>3</v>
      </c>
      <c r="L497">
        <v>1</v>
      </c>
      <c r="M497">
        <v>1</v>
      </c>
      <c r="N497">
        <v>5</v>
      </c>
      <c r="O497">
        <v>4</v>
      </c>
      <c r="P497">
        <v>1</v>
      </c>
    </row>
    <row r="498" spans="1:16" x14ac:dyDescent="0.3">
      <c r="A498" s="7" t="s">
        <v>262</v>
      </c>
      <c r="B498" t="s">
        <v>263</v>
      </c>
      <c r="C498" t="s">
        <v>249</v>
      </c>
      <c r="D498" s="1">
        <v>45394</v>
      </c>
      <c r="E498" s="17">
        <v>0.25</v>
      </c>
      <c r="F498" s="17">
        <v>0.25694444444444398</v>
      </c>
      <c r="H498" t="s">
        <v>214</v>
      </c>
      <c r="I498" s="2" t="s">
        <v>218</v>
      </c>
      <c r="J498" s="2" t="s">
        <v>225</v>
      </c>
      <c r="K498">
        <v>2</v>
      </c>
      <c r="L498">
        <v>1</v>
      </c>
      <c r="M498">
        <v>1</v>
      </c>
      <c r="N498">
        <v>5</v>
      </c>
      <c r="O498">
        <v>4</v>
      </c>
      <c r="P498">
        <v>1</v>
      </c>
    </row>
    <row r="499" spans="1:16" x14ac:dyDescent="0.3">
      <c r="A499" s="7" t="s">
        <v>252</v>
      </c>
      <c r="B499" t="s">
        <v>256</v>
      </c>
      <c r="C499" t="s">
        <v>249</v>
      </c>
      <c r="D499" s="1">
        <v>45394</v>
      </c>
      <c r="E499" s="17">
        <v>0.25</v>
      </c>
      <c r="F499" s="17">
        <v>0.25694444444444398</v>
      </c>
      <c r="H499" t="s">
        <v>214</v>
      </c>
      <c r="I499" s="2" t="s">
        <v>218</v>
      </c>
      <c r="J499" s="2" t="s">
        <v>225</v>
      </c>
      <c r="K499">
        <v>2</v>
      </c>
      <c r="L499">
        <v>1</v>
      </c>
      <c r="M499">
        <v>1</v>
      </c>
      <c r="N499">
        <v>5</v>
      </c>
      <c r="O499">
        <v>4</v>
      </c>
      <c r="P499">
        <v>1</v>
      </c>
    </row>
    <row r="500" spans="1:16" x14ac:dyDescent="0.3">
      <c r="A500" s="7" t="s">
        <v>253</v>
      </c>
      <c r="B500" t="s">
        <v>255</v>
      </c>
      <c r="C500" t="s">
        <v>249</v>
      </c>
      <c r="D500" s="1">
        <v>45394</v>
      </c>
      <c r="E500" s="17">
        <v>0.25</v>
      </c>
      <c r="F500" s="17">
        <v>0.25694444444444398</v>
      </c>
      <c r="H500" t="s">
        <v>214</v>
      </c>
      <c r="I500" s="2" t="s">
        <v>218</v>
      </c>
      <c r="J500" s="2" t="s">
        <v>225</v>
      </c>
      <c r="K500">
        <v>2</v>
      </c>
      <c r="L500">
        <v>1</v>
      </c>
      <c r="M500">
        <v>1</v>
      </c>
      <c r="N500">
        <v>5</v>
      </c>
      <c r="O500">
        <v>4</v>
      </c>
      <c r="P500">
        <v>1</v>
      </c>
    </row>
    <row r="501" spans="1:16" x14ac:dyDescent="0.3">
      <c r="A501" s="7" t="s">
        <v>250</v>
      </c>
      <c r="B501" t="s">
        <v>257</v>
      </c>
      <c r="C501" t="s">
        <v>249</v>
      </c>
      <c r="D501" s="1">
        <v>45394</v>
      </c>
      <c r="E501" s="17">
        <v>0.25</v>
      </c>
      <c r="F501" s="17">
        <v>0.25694444444444398</v>
      </c>
      <c r="H501" t="s">
        <v>214</v>
      </c>
      <c r="I501" s="2" t="s">
        <v>218</v>
      </c>
      <c r="J501" s="2" t="s">
        <v>225</v>
      </c>
      <c r="K501">
        <v>2</v>
      </c>
      <c r="L501">
        <v>1</v>
      </c>
      <c r="M501">
        <v>1</v>
      </c>
      <c r="N501">
        <v>5</v>
      </c>
      <c r="O501">
        <v>4</v>
      </c>
      <c r="P501">
        <v>1</v>
      </c>
    </row>
    <row r="502" spans="1:16" x14ac:dyDescent="0.3">
      <c r="A502" s="7" t="s">
        <v>260</v>
      </c>
      <c r="B502" t="s">
        <v>258</v>
      </c>
      <c r="C502" t="s">
        <v>249</v>
      </c>
      <c r="D502" s="1">
        <v>45394</v>
      </c>
      <c r="E502" s="17">
        <v>0.25</v>
      </c>
      <c r="F502" s="17">
        <v>0.25694444444444398</v>
      </c>
      <c r="H502" t="s">
        <v>214</v>
      </c>
      <c r="I502" s="2" t="s">
        <v>218</v>
      </c>
      <c r="J502" s="2" t="s">
        <v>225</v>
      </c>
      <c r="K502">
        <v>2</v>
      </c>
      <c r="L502">
        <v>1</v>
      </c>
      <c r="M502">
        <v>1</v>
      </c>
      <c r="N502">
        <v>5</v>
      </c>
      <c r="O502">
        <v>4</v>
      </c>
      <c r="P502">
        <v>1</v>
      </c>
    </row>
    <row r="503" spans="1:16" x14ac:dyDescent="0.3">
      <c r="A503" s="7" t="s">
        <v>275</v>
      </c>
      <c r="B503" t="s">
        <v>274</v>
      </c>
      <c r="C503" t="s">
        <v>249</v>
      </c>
      <c r="D503" s="1">
        <v>45394</v>
      </c>
      <c r="E503" s="17">
        <v>0.25</v>
      </c>
      <c r="F503" s="17">
        <v>0.25694444444444398</v>
      </c>
      <c r="H503" t="s">
        <v>214</v>
      </c>
      <c r="I503" s="2" t="s">
        <v>218</v>
      </c>
      <c r="J503" s="2" t="s">
        <v>225</v>
      </c>
      <c r="K503">
        <v>2</v>
      </c>
      <c r="L503">
        <v>1</v>
      </c>
      <c r="M503">
        <v>1</v>
      </c>
      <c r="N503">
        <v>5</v>
      </c>
      <c r="O503">
        <v>4</v>
      </c>
      <c r="P503">
        <v>1</v>
      </c>
    </row>
    <row r="504" spans="1:16" x14ac:dyDescent="0.3">
      <c r="A504" s="7" t="s">
        <v>250</v>
      </c>
      <c r="B504" t="s">
        <v>257</v>
      </c>
      <c r="C504" t="s">
        <v>249</v>
      </c>
      <c r="D504" s="1">
        <v>45393</v>
      </c>
      <c r="E504" s="17">
        <v>0.25</v>
      </c>
      <c r="F504" s="17">
        <v>0.25694444444444398</v>
      </c>
      <c r="H504" s="4" t="s">
        <v>43</v>
      </c>
      <c r="I504" s="5" t="s">
        <v>45</v>
      </c>
      <c r="J504" s="5" t="s">
        <v>46</v>
      </c>
      <c r="K504">
        <v>2</v>
      </c>
      <c r="L504">
        <v>1</v>
      </c>
      <c r="M504">
        <v>1</v>
      </c>
      <c r="N504">
        <v>5</v>
      </c>
      <c r="O504">
        <v>1</v>
      </c>
      <c r="P504">
        <v>1</v>
      </c>
    </row>
    <row r="505" spans="1:16" x14ac:dyDescent="0.3">
      <c r="A505" s="7" t="s">
        <v>252</v>
      </c>
      <c r="B505" t="s">
        <v>256</v>
      </c>
      <c r="C505" t="s">
        <v>249</v>
      </c>
      <c r="D505" s="1">
        <v>45393</v>
      </c>
      <c r="E505" s="17">
        <v>0.25</v>
      </c>
      <c r="F505" s="17">
        <v>0.25694444444444398</v>
      </c>
      <c r="H505" s="4" t="s">
        <v>43</v>
      </c>
      <c r="I505" s="5" t="s">
        <v>45</v>
      </c>
      <c r="J505" s="5" t="s">
        <v>46</v>
      </c>
      <c r="K505">
        <v>2</v>
      </c>
      <c r="L505">
        <v>1</v>
      </c>
      <c r="M505">
        <v>1</v>
      </c>
      <c r="N505">
        <v>5</v>
      </c>
      <c r="O505">
        <v>1</v>
      </c>
      <c r="P505">
        <v>1</v>
      </c>
    </row>
    <row r="506" spans="1:16" x14ac:dyDescent="0.3">
      <c r="A506" s="7" t="s">
        <v>275</v>
      </c>
      <c r="B506" t="s">
        <v>274</v>
      </c>
      <c r="C506" t="s">
        <v>249</v>
      </c>
      <c r="D506" s="1">
        <v>45393</v>
      </c>
      <c r="E506" s="17">
        <v>0.25</v>
      </c>
      <c r="F506" s="17">
        <v>0.25694444444444398</v>
      </c>
      <c r="H506" s="4" t="s">
        <v>43</v>
      </c>
      <c r="I506" s="5" t="s">
        <v>45</v>
      </c>
      <c r="J506" s="5" t="s">
        <v>46</v>
      </c>
      <c r="K506">
        <v>2</v>
      </c>
      <c r="L506">
        <v>1</v>
      </c>
      <c r="M506">
        <v>1</v>
      </c>
      <c r="N506">
        <v>5</v>
      </c>
      <c r="O506">
        <v>1</v>
      </c>
      <c r="P506">
        <v>1</v>
      </c>
    </row>
    <row r="507" spans="1:16" x14ac:dyDescent="0.3">
      <c r="A507" s="7" t="s">
        <v>253</v>
      </c>
      <c r="B507" t="s">
        <v>255</v>
      </c>
      <c r="C507" t="s">
        <v>249</v>
      </c>
      <c r="D507" s="1">
        <v>45393</v>
      </c>
      <c r="E507" s="17">
        <v>0.25</v>
      </c>
      <c r="F507" s="17">
        <v>0.25694444444444398</v>
      </c>
      <c r="H507" s="4" t="s">
        <v>43</v>
      </c>
      <c r="I507" s="5" t="s">
        <v>45</v>
      </c>
      <c r="J507" s="5" t="s">
        <v>46</v>
      </c>
      <c r="K507">
        <v>2</v>
      </c>
      <c r="L507">
        <v>1</v>
      </c>
      <c r="M507">
        <v>1</v>
      </c>
      <c r="N507">
        <v>5</v>
      </c>
      <c r="O507">
        <v>1</v>
      </c>
      <c r="P507">
        <v>1</v>
      </c>
    </row>
    <row r="508" spans="1:16" x14ac:dyDescent="0.3">
      <c r="A508" s="7" t="s">
        <v>262</v>
      </c>
      <c r="B508" t="s">
        <v>263</v>
      </c>
      <c r="C508" t="s">
        <v>249</v>
      </c>
      <c r="D508" s="1">
        <v>45393</v>
      </c>
      <c r="E508" s="17">
        <v>0.25</v>
      </c>
      <c r="F508" s="17">
        <v>0.25694444444444398</v>
      </c>
      <c r="H508" s="4" t="s">
        <v>43</v>
      </c>
      <c r="I508" s="5" t="s">
        <v>45</v>
      </c>
      <c r="J508" s="5" t="s">
        <v>46</v>
      </c>
      <c r="K508">
        <v>2</v>
      </c>
      <c r="L508">
        <v>1</v>
      </c>
      <c r="M508">
        <v>1</v>
      </c>
      <c r="N508">
        <v>5</v>
      </c>
      <c r="O508">
        <v>1</v>
      </c>
      <c r="P508">
        <v>1</v>
      </c>
    </row>
    <row r="509" spans="1:16" x14ac:dyDescent="0.3">
      <c r="A509" s="7" t="s">
        <v>250</v>
      </c>
      <c r="B509" t="s">
        <v>257</v>
      </c>
      <c r="C509" t="s">
        <v>249</v>
      </c>
      <c r="D509" s="1">
        <v>45394</v>
      </c>
      <c r="E509" s="17">
        <v>0.25</v>
      </c>
      <c r="F509" s="17">
        <v>0.25694444444444398</v>
      </c>
      <c r="H509" s="4" t="s">
        <v>43</v>
      </c>
      <c r="I509" s="5" t="s">
        <v>45</v>
      </c>
      <c r="J509" s="5" t="s">
        <v>46</v>
      </c>
      <c r="K509">
        <v>2</v>
      </c>
      <c r="L509">
        <v>1</v>
      </c>
      <c r="M509">
        <v>1</v>
      </c>
      <c r="N509">
        <v>5</v>
      </c>
      <c r="O509">
        <v>2</v>
      </c>
      <c r="P509">
        <v>1</v>
      </c>
    </row>
    <row r="510" spans="1:16" x14ac:dyDescent="0.3">
      <c r="A510" s="7" t="s">
        <v>252</v>
      </c>
      <c r="B510" t="s">
        <v>256</v>
      </c>
      <c r="C510" t="s">
        <v>249</v>
      </c>
      <c r="D510" s="1">
        <v>45394</v>
      </c>
      <c r="E510" s="17">
        <v>0.25</v>
      </c>
      <c r="F510" s="17">
        <v>0.25694444444444398</v>
      </c>
      <c r="H510" s="4" t="s">
        <v>43</v>
      </c>
      <c r="I510" s="5" t="s">
        <v>45</v>
      </c>
      <c r="J510" s="5" t="s">
        <v>46</v>
      </c>
      <c r="K510">
        <v>2</v>
      </c>
      <c r="L510">
        <v>1</v>
      </c>
      <c r="M510">
        <v>1</v>
      </c>
      <c r="N510">
        <v>5</v>
      </c>
      <c r="O510">
        <v>2</v>
      </c>
      <c r="P510">
        <v>1</v>
      </c>
    </row>
    <row r="511" spans="1:16" x14ac:dyDescent="0.3">
      <c r="A511" s="7" t="s">
        <v>275</v>
      </c>
      <c r="B511" t="s">
        <v>274</v>
      </c>
      <c r="C511" t="s">
        <v>249</v>
      </c>
      <c r="D511" s="1">
        <v>45394</v>
      </c>
      <c r="E511" s="17">
        <v>0.25</v>
      </c>
      <c r="F511" s="17">
        <v>0.25694444444444398</v>
      </c>
      <c r="H511" s="4" t="s">
        <v>43</v>
      </c>
      <c r="I511" s="5" t="s">
        <v>45</v>
      </c>
      <c r="J511" s="5" t="s">
        <v>46</v>
      </c>
      <c r="K511">
        <v>2</v>
      </c>
      <c r="L511">
        <v>1</v>
      </c>
      <c r="M511">
        <v>1</v>
      </c>
      <c r="N511">
        <v>5</v>
      </c>
      <c r="O511">
        <v>2</v>
      </c>
      <c r="P511">
        <v>1</v>
      </c>
    </row>
    <row r="512" spans="1:16" x14ac:dyDescent="0.3">
      <c r="A512" s="7" t="s">
        <v>253</v>
      </c>
      <c r="B512" t="s">
        <v>255</v>
      </c>
      <c r="C512" t="s">
        <v>249</v>
      </c>
      <c r="D512" s="1">
        <v>45394</v>
      </c>
      <c r="E512" s="17">
        <v>0.25</v>
      </c>
      <c r="F512" s="17">
        <v>0.25694444444444398</v>
      </c>
      <c r="H512" s="4" t="s">
        <v>43</v>
      </c>
      <c r="I512" s="5" t="s">
        <v>45</v>
      </c>
      <c r="J512" s="5" t="s">
        <v>46</v>
      </c>
      <c r="K512">
        <v>2</v>
      </c>
      <c r="L512">
        <v>1</v>
      </c>
      <c r="M512">
        <v>1</v>
      </c>
      <c r="N512">
        <v>5</v>
      </c>
      <c r="O512">
        <v>2</v>
      </c>
      <c r="P512">
        <v>1</v>
      </c>
    </row>
    <row r="513" spans="1:16" x14ac:dyDescent="0.3">
      <c r="A513" s="7" t="s">
        <v>262</v>
      </c>
      <c r="B513" t="s">
        <v>263</v>
      </c>
      <c r="C513" t="s">
        <v>249</v>
      </c>
      <c r="D513" s="1">
        <v>45394</v>
      </c>
      <c r="E513" s="17">
        <v>0.25</v>
      </c>
      <c r="F513" s="17">
        <v>0.25694444444444398</v>
      </c>
      <c r="H513" s="4" t="s">
        <v>43</v>
      </c>
      <c r="I513" s="5" t="s">
        <v>45</v>
      </c>
      <c r="J513" s="5" t="s">
        <v>46</v>
      </c>
      <c r="K513">
        <v>2</v>
      </c>
      <c r="L513">
        <v>1</v>
      </c>
      <c r="M513">
        <v>1</v>
      </c>
      <c r="N513">
        <v>5</v>
      </c>
      <c r="O513">
        <v>2</v>
      </c>
      <c r="P513">
        <v>1</v>
      </c>
    </row>
    <row r="514" spans="1:16" x14ac:dyDescent="0.3">
      <c r="A514" s="7" t="s">
        <v>299</v>
      </c>
      <c r="B514" t="s">
        <v>300</v>
      </c>
      <c r="C514" t="s">
        <v>264</v>
      </c>
      <c r="D514" s="1">
        <v>45394</v>
      </c>
      <c r="E514" s="17">
        <v>0.25</v>
      </c>
      <c r="F514" s="17">
        <v>0.25694444444444398</v>
      </c>
      <c r="H514" s="4" t="s">
        <v>43</v>
      </c>
      <c r="I514" s="5" t="s">
        <v>45</v>
      </c>
      <c r="J514" s="5" t="s">
        <v>46</v>
      </c>
      <c r="K514">
        <v>2</v>
      </c>
      <c r="L514">
        <v>1</v>
      </c>
      <c r="M514">
        <v>1</v>
      </c>
      <c r="N514">
        <v>5</v>
      </c>
      <c r="O514">
        <v>2</v>
      </c>
      <c r="P514">
        <v>1</v>
      </c>
    </row>
    <row r="515" spans="1:16" x14ac:dyDescent="0.3">
      <c r="A515" s="7" t="s">
        <v>289</v>
      </c>
      <c r="B515" t="s">
        <v>290</v>
      </c>
      <c r="C515" t="s">
        <v>249</v>
      </c>
      <c r="D515" s="1">
        <v>45394</v>
      </c>
      <c r="E515" s="17">
        <v>0.25</v>
      </c>
      <c r="F515" s="17">
        <v>0.25694444444444398</v>
      </c>
      <c r="H515" s="4" t="s">
        <v>43</v>
      </c>
      <c r="I515" s="5" t="s">
        <v>45</v>
      </c>
      <c r="J515" s="5" t="s">
        <v>46</v>
      </c>
      <c r="K515">
        <v>2</v>
      </c>
      <c r="L515">
        <v>1</v>
      </c>
      <c r="M515">
        <v>1</v>
      </c>
      <c r="N515">
        <v>5</v>
      </c>
      <c r="O515">
        <v>2</v>
      </c>
      <c r="P515">
        <v>1</v>
      </c>
    </row>
    <row r="516" spans="1:16" x14ac:dyDescent="0.3">
      <c r="A516" s="7" t="s">
        <v>251</v>
      </c>
      <c r="B516" t="s">
        <v>248</v>
      </c>
      <c r="C516" t="s">
        <v>249</v>
      </c>
      <c r="D516" s="1">
        <v>45394</v>
      </c>
      <c r="E516" s="17">
        <v>0.25</v>
      </c>
      <c r="F516" s="17">
        <v>0.25694444444444398</v>
      </c>
      <c r="H516" s="4" t="s">
        <v>43</v>
      </c>
      <c r="I516" s="5" t="s">
        <v>45</v>
      </c>
      <c r="J516" s="5" t="s">
        <v>46</v>
      </c>
      <c r="K516">
        <v>2</v>
      </c>
      <c r="L516">
        <v>1</v>
      </c>
      <c r="M516">
        <v>1</v>
      </c>
      <c r="N516">
        <v>5</v>
      </c>
      <c r="O516">
        <v>2</v>
      </c>
      <c r="P516">
        <v>1</v>
      </c>
    </row>
    <row r="517" spans="1:16" x14ac:dyDescent="0.3">
      <c r="A517" s="7" t="s">
        <v>250</v>
      </c>
      <c r="B517" t="s">
        <v>257</v>
      </c>
      <c r="C517" t="s">
        <v>249</v>
      </c>
      <c r="D517" s="1">
        <v>45393</v>
      </c>
      <c r="E517" s="17">
        <v>0.25</v>
      </c>
      <c r="F517" s="17">
        <v>0.25694444444444398</v>
      </c>
      <c r="H517" t="s">
        <v>215</v>
      </c>
      <c r="I517" s="2" t="s">
        <v>219</v>
      </c>
      <c r="J517" s="2" t="s">
        <v>226</v>
      </c>
      <c r="K517">
        <v>2</v>
      </c>
      <c r="L517">
        <v>1</v>
      </c>
      <c r="M517">
        <v>1</v>
      </c>
      <c r="N517">
        <v>4</v>
      </c>
      <c r="O517">
        <v>1</v>
      </c>
      <c r="P517">
        <v>1</v>
      </c>
    </row>
    <row r="518" spans="1:16" x14ac:dyDescent="0.3">
      <c r="A518" s="7" t="s">
        <v>275</v>
      </c>
      <c r="B518" t="s">
        <v>274</v>
      </c>
      <c r="C518" t="s">
        <v>249</v>
      </c>
      <c r="D518" s="1">
        <v>45393</v>
      </c>
      <c r="E518" s="17">
        <v>0.25</v>
      </c>
      <c r="F518" s="17">
        <v>0.25694444444444398</v>
      </c>
      <c r="H518" t="s">
        <v>215</v>
      </c>
      <c r="I518" s="2" t="s">
        <v>219</v>
      </c>
      <c r="J518" s="2" t="s">
        <v>226</v>
      </c>
      <c r="K518">
        <v>2</v>
      </c>
      <c r="L518">
        <v>1</v>
      </c>
      <c r="M518">
        <v>1</v>
      </c>
      <c r="N518">
        <v>4</v>
      </c>
      <c r="O518">
        <v>1</v>
      </c>
      <c r="P518">
        <v>1</v>
      </c>
    </row>
    <row r="519" spans="1:16" x14ac:dyDescent="0.3">
      <c r="A519" s="7" t="s">
        <v>252</v>
      </c>
      <c r="B519" t="s">
        <v>256</v>
      </c>
      <c r="C519" t="s">
        <v>249</v>
      </c>
      <c r="D519" s="1">
        <v>45393</v>
      </c>
      <c r="E519" s="17">
        <v>0.25</v>
      </c>
      <c r="F519" s="17">
        <v>0.25694444444444398</v>
      </c>
      <c r="H519" t="s">
        <v>215</v>
      </c>
      <c r="I519" s="2" t="s">
        <v>219</v>
      </c>
      <c r="J519" s="2" t="s">
        <v>226</v>
      </c>
      <c r="K519">
        <v>2</v>
      </c>
      <c r="L519">
        <v>1</v>
      </c>
      <c r="M519">
        <v>1</v>
      </c>
      <c r="N519">
        <v>4</v>
      </c>
      <c r="O519">
        <v>1</v>
      </c>
      <c r="P519">
        <v>1</v>
      </c>
    </row>
    <row r="520" spans="1:16" x14ac:dyDescent="0.3">
      <c r="A520" s="7" t="s">
        <v>253</v>
      </c>
      <c r="B520" t="s">
        <v>255</v>
      </c>
      <c r="C520" t="s">
        <v>249</v>
      </c>
      <c r="D520" s="1">
        <v>45393</v>
      </c>
      <c r="E520" s="17">
        <v>0.25</v>
      </c>
      <c r="F520" s="17">
        <v>0.25694444444444398</v>
      </c>
      <c r="H520" t="s">
        <v>215</v>
      </c>
      <c r="I520" s="2" t="s">
        <v>219</v>
      </c>
      <c r="J520" s="2" t="s">
        <v>226</v>
      </c>
      <c r="K520">
        <v>2</v>
      </c>
      <c r="L520">
        <v>1</v>
      </c>
      <c r="M520">
        <v>1</v>
      </c>
      <c r="N520">
        <v>4</v>
      </c>
      <c r="O520">
        <v>1</v>
      </c>
      <c r="P520">
        <v>1</v>
      </c>
    </row>
    <row r="521" spans="1:16" x14ac:dyDescent="0.3">
      <c r="A521" s="7" t="s">
        <v>262</v>
      </c>
      <c r="B521" t="s">
        <v>263</v>
      </c>
      <c r="C521" t="s">
        <v>249</v>
      </c>
      <c r="D521" s="1">
        <v>45393</v>
      </c>
      <c r="E521" s="17">
        <v>0.25</v>
      </c>
      <c r="F521" s="17">
        <v>0.25694444444444398</v>
      </c>
      <c r="H521" t="s">
        <v>215</v>
      </c>
      <c r="I521" s="2" t="s">
        <v>219</v>
      </c>
      <c r="J521" s="2" t="s">
        <v>226</v>
      </c>
      <c r="K521">
        <v>2</v>
      </c>
      <c r="L521">
        <v>1</v>
      </c>
      <c r="M521">
        <v>1</v>
      </c>
      <c r="N521">
        <v>4</v>
      </c>
      <c r="O521">
        <v>1</v>
      </c>
      <c r="P521">
        <v>1</v>
      </c>
    </row>
    <row r="522" spans="1:16" x14ac:dyDescent="0.3">
      <c r="A522" s="7" t="s">
        <v>260</v>
      </c>
      <c r="B522" t="s">
        <v>258</v>
      </c>
      <c r="C522" t="s">
        <v>249</v>
      </c>
      <c r="D522" s="1">
        <v>45393</v>
      </c>
      <c r="E522" s="17">
        <v>0.25</v>
      </c>
      <c r="F522" s="17">
        <v>0.25694444444444398</v>
      </c>
      <c r="H522" t="s">
        <v>215</v>
      </c>
      <c r="I522" s="2" t="s">
        <v>219</v>
      </c>
      <c r="J522" s="2" t="s">
        <v>226</v>
      </c>
      <c r="K522">
        <v>2</v>
      </c>
      <c r="L522">
        <v>1</v>
      </c>
      <c r="M522">
        <v>1</v>
      </c>
      <c r="N522">
        <v>4</v>
      </c>
      <c r="O522">
        <v>1</v>
      </c>
      <c r="P522">
        <v>1</v>
      </c>
    </row>
    <row r="523" spans="1:16" x14ac:dyDescent="0.3">
      <c r="A523" s="7" t="s">
        <v>251</v>
      </c>
      <c r="B523" t="s">
        <v>248</v>
      </c>
      <c r="C523" t="s">
        <v>249</v>
      </c>
      <c r="D523" s="1">
        <v>45393</v>
      </c>
      <c r="E523" s="17">
        <v>0.25</v>
      </c>
      <c r="F523" s="17">
        <v>0.25694444444444398</v>
      </c>
      <c r="H523" t="s">
        <v>215</v>
      </c>
      <c r="I523" s="2" t="s">
        <v>219</v>
      </c>
      <c r="J523" s="2" t="s">
        <v>226</v>
      </c>
      <c r="K523">
        <v>2</v>
      </c>
      <c r="L523">
        <v>1</v>
      </c>
      <c r="M523">
        <v>1</v>
      </c>
      <c r="N523">
        <v>4</v>
      </c>
      <c r="O523">
        <v>1</v>
      </c>
      <c r="P523">
        <v>1</v>
      </c>
    </row>
    <row r="524" spans="1:16" x14ac:dyDescent="0.3">
      <c r="A524" s="7" t="s">
        <v>275</v>
      </c>
      <c r="B524" t="s">
        <v>274</v>
      </c>
      <c r="C524" t="s">
        <v>249</v>
      </c>
      <c r="D524" s="1">
        <v>45394</v>
      </c>
      <c r="E524" s="17">
        <v>0.25</v>
      </c>
      <c r="F524" s="17">
        <v>0.25694444444444398</v>
      </c>
      <c r="H524" t="s">
        <v>215</v>
      </c>
      <c r="I524" s="2" t="s">
        <v>219</v>
      </c>
      <c r="J524" s="2" t="s">
        <v>226</v>
      </c>
      <c r="K524">
        <v>2</v>
      </c>
      <c r="L524">
        <v>1</v>
      </c>
      <c r="M524">
        <v>1</v>
      </c>
      <c r="N524">
        <v>5</v>
      </c>
      <c r="O524">
        <v>1</v>
      </c>
      <c r="P524">
        <v>1</v>
      </c>
    </row>
    <row r="525" spans="1:16" x14ac:dyDescent="0.3">
      <c r="A525" s="7" t="s">
        <v>250</v>
      </c>
      <c r="B525" t="s">
        <v>257</v>
      </c>
      <c r="C525" t="s">
        <v>249</v>
      </c>
      <c r="D525" s="1">
        <v>45394</v>
      </c>
      <c r="E525" s="17">
        <v>0.25</v>
      </c>
      <c r="F525" s="17">
        <v>0.25694444444444398</v>
      </c>
      <c r="H525" t="s">
        <v>215</v>
      </c>
      <c r="I525" s="2" t="s">
        <v>219</v>
      </c>
      <c r="J525" s="2" t="s">
        <v>226</v>
      </c>
      <c r="K525">
        <v>2</v>
      </c>
      <c r="L525">
        <v>1</v>
      </c>
      <c r="M525">
        <v>1</v>
      </c>
      <c r="N525">
        <v>5</v>
      </c>
      <c r="O525">
        <v>1</v>
      </c>
      <c r="P525">
        <v>1</v>
      </c>
    </row>
    <row r="526" spans="1:16" x14ac:dyDescent="0.3">
      <c r="A526" s="7" t="s">
        <v>262</v>
      </c>
      <c r="B526" t="s">
        <v>263</v>
      </c>
      <c r="C526" t="s">
        <v>249</v>
      </c>
      <c r="D526" s="1">
        <v>45394</v>
      </c>
      <c r="E526" s="17">
        <v>0.25</v>
      </c>
      <c r="F526" s="17">
        <v>0.25694444444444398</v>
      </c>
      <c r="H526" t="s">
        <v>215</v>
      </c>
      <c r="I526" s="2" t="s">
        <v>219</v>
      </c>
      <c r="J526" s="2" t="s">
        <v>226</v>
      </c>
      <c r="K526">
        <v>2</v>
      </c>
      <c r="L526">
        <v>1</v>
      </c>
      <c r="M526">
        <v>1</v>
      </c>
      <c r="N526">
        <v>5</v>
      </c>
      <c r="O526">
        <v>1</v>
      </c>
      <c r="P526">
        <v>1</v>
      </c>
    </row>
    <row r="527" spans="1:16" x14ac:dyDescent="0.3">
      <c r="A527" s="7" t="s">
        <v>260</v>
      </c>
      <c r="B527" t="s">
        <v>258</v>
      </c>
      <c r="C527" t="s">
        <v>249</v>
      </c>
      <c r="D527" s="1">
        <v>45394</v>
      </c>
      <c r="E527" s="17">
        <v>0.25</v>
      </c>
      <c r="F527" s="17">
        <v>0.25694444444444398</v>
      </c>
      <c r="H527" t="s">
        <v>215</v>
      </c>
      <c r="I527" s="2" t="s">
        <v>219</v>
      </c>
      <c r="J527" s="2" t="s">
        <v>226</v>
      </c>
      <c r="K527">
        <v>2</v>
      </c>
      <c r="L527">
        <v>1</v>
      </c>
      <c r="M527">
        <v>1</v>
      </c>
      <c r="N527">
        <v>5</v>
      </c>
      <c r="O527">
        <v>1</v>
      </c>
      <c r="P527">
        <v>1</v>
      </c>
    </row>
    <row r="528" spans="1:16" x14ac:dyDescent="0.3">
      <c r="A528" s="7" t="s">
        <v>251</v>
      </c>
      <c r="B528" t="s">
        <v>248</v>
      </c>
      <c r="C528" t="s">
        <v>249</v>
      </c>
      <c r="D528" s="1">
        <v>45394</v>
      </c>
      <c r="E528" s="17">
        <v>0.25</v>
      </c>
      <c r="F528" s="17">
        <v>0.25694444444444398</v>
      </c>
      <c r="H528" t="s">
        <v>215</v>
      </c>
      <c r="I528" s="2" t="s">
        <v>219</v>
      </c>
      <c r="J528" s="2" t="s">
        <v>226</v>
      </c>
      <c r="K528">
        <v>2</v>
      </c>
      <c r="L528">
        <v>1</v>
      </c>
      <c r="M528">
        <v>1</v>
      </c>
      <c r="N528">
        <v>5</v>
      </c>
      <c r="O528">
        <v>1</v>
      </c>
      <c r="P528">
        <v>1</v>
      </c>
    </row>
    <row r="529" spans="1:16" x14ac:dyDescent="0.3">
      <c r="A529" s="7" t="s">
        <v>299</v>
      </c>
      <c r="B529" t="s">
        <v>300</v>
      </c>
      <c r="C529" t="s">
        <v>264</v>
      </c>
      <c r="D529" s="1">
        <v>45394</v>
      </c>
      <c r="E529" s="17">
        <v>0.25</v>
      </c>
      <c r="F529" s="17">
        <v>0.25694444444444398</v>
      </c>
      <c r="H529" t="s">
        <v>215</v>
      </c>
      <c r="I529" s="2" t="s">
        <v>219</v>
      </c>
      <c r="J529" s="2" t="s">
        <v>226</v>
      </c>
      <c r="K529">
        <v>2</v>
      </c>
      <c r="L529">
        <v>1</v>
      </c>
      <c r="M529">
        <v>1</v>
      </c>
      <c r="N529">
        <v>5</v>
      </c>
      <c r="O529">
        <v>1</v>
      </c>
      <c r="P529">
        <v>1</v>
      </c>
    </row>
    <row r="530" spans="1:16" x14ac:dyDescent="0.3">
      <c r="A530" s="7" t="s">
        <v>252</v>
      </c>
      <c r="B530" t="s">
        <v>256</v>
      </c>
      <c r="C530" t="s">
        <v>249</v>
      </c>
      <c r="D530" s="1">
        <v>45394</v>
      </c>
      <c r="E530" s="17">
        <v>0.25</v>
      </c>
      <c r="F530" s="17">
        <v>0.25694444444444398</v>
      </c>
      <c r="H530" t="s">
        <v>215</v>
      </c>
      <c r="I530" s="2" t="s">
        <v>219</v>
      </c>
      <c r="J530" s="2" t="s">
        <v>226</v>
      </c>
      <c r="K530">
        <v>2</v>
      </c>
      <c r="L530">
        <v>1</v>
      </c>
      <c r="M530">
        <v>1</v>
      </c>
      <c r="N530">
        <v>5</v>
      </c>
      <c r="O530">
        <v>1</v>
      </c>
      <c r="P530">
        <v>1</v>
      </c>
    </row>
    <row r="531" spans="1:16" x14ac:dyDescent="0.3">
      <c r="A531" s="7" t="s">
        <v>253</v>
      </c>
      <c r="B531" t="s">
        <v>255</v>
      </c>
      <c r="C531" t="s">
        <v>249</v>
      </c>
      <c r="D531" s="1">
        <v>45394</v>
      </c>
      <c r="E531" s="17">
        <v>0.25</v>
      </c>
      <c r="F531" s="17">
        <v>0.25694444444444398</v>
      </c>
      <c r="H531" t="s">
        <v>215</v>
      </c>
      <c r="I531" s="2" t="s">
        <v>219</v>
      </c>
      <c r="J531" s="2" t="s">
        <v>226</v>
      </c>
      <c r="K531">
        <v>2</v>
      </c>
      <c r="L531">
        <v>1</v>
      </c>
      <c r="M531">
        <v>1</v>
      </c>
      <c r="N531">
        <v>5</v>
      </c>
      <c r="O531">
        <v>1</v>
      </c>
      <c r="P531">
        <v>1</v>
      </c>
    </row>
    <row r="532" spans="1:16" x14ac:dyDescent="0.3">
      <c r="A532" s="7" t="s">
        <v>262</v>
      </c>
      <c r="B532" t="s">
        <v>263</v>
      </c>
      <c r="C532" t="s">
        <v>249</v>
      </c>
      <c r="D532" s="1">
        <v>45393</v>
      </c>
      <c r="E532" s="17">
        <v>0.25</v>
      </c>
      <c r="F532" s="17">
        <v>0.25694444444444398</v>
      </c>
      <c r="H532" s="4" t="s">
        <v>216</v>
      </c>
      <c r="I532" s="5" t="s">
        <v>220</v>
      </c>
      <c r="J532" s="5" t="s">
        <v>222</v>
      </c>
      <c r="K532">
        <v>2</v>
      </c>
      <c r="L532">
        <v>1</v>
      </c>
      <c r="M532">
        <v>1</v>
      </c>
      <c r="N532">
        <v>4</v>
      </c>
      <c r="O532">
        <v>3</v>
      </c>
      <c r="P532">
        <v>1</v>
      </c>
    </row>
    <row r="533" spans="1:16" ht="28.8" x14ac:dyDescent="0.3">
      <c r="A533" s="7" t="s">
        <v>289</v>
      </c>
      <c r="B533" s="20" t="s">
        <v>290</v>
      </c>
      <c r="C533" t="s">
        <v>249</v>
      </c>
      <c r="D533" s="1">
        <v>45393</v>
      </c>
      <c r="E533" s="17">
        <v>0.25</v>
      </c>
      <c r="F533" s="17">
        <v>0.25694444444444398</v>
      </c>
      <c r="H533" s="4" t="s">
        <v>216</v>
      </c>
      <c r="I533" s="5" t="s">
        <v>220</v>
      </c>
      <c r="J533" s="5" t="s">
        <v>222</v>
      </c>
      <c r="K533">
        <v>2</v>
      </c>
      <c r="L533">
        <v>1</v>
      </c>
      <c r="M533">
        <v>1</v>
      </c>
      <c r="N533">
        <v>4</v>
      </c>
      <c r="O533">
        <v>3</v>
      </c>
      <c r="P533">
        <v>1</v>
      </c>
    </row>
    <row r="534" spans="1:16" x14ac:dyDescent="0.3">
      <c r="A534" s="7" t="s">
        <v>275</v>
      </c>
      <c r="B534" t="s">
        <v>274</v>
      </c>
      <c r="C534" t="s">
        <v>249</v>
      </c>
      <c r="D534" s="1">
        <v>45393</v>
      </c>
      <c r="E534" s="17">
        <v>0.25</v>
      </c>
      <c r="F534" s="17">
        <v>0.25694444444444398</v>
      </c>
      <c r="H534" s="4" t="s">
        <v>216</v>
      </c>
      <c r="I534" s="5" t="s">
        <v>220</v>
      </c>
      <c r="J534" s="5" t="s">
        <v>222</v>
      </c>
      <c r="K534">
        <v>2</v>
      </c>
      <c r="L534">
        <v>1</v>
      </c>
      <c r="M534">
        <v>1</v>
      </c>
      <c r="N534">
        <v>4</v>
      </c>
      <c r="O534">
        <v>3</v>
      </c>
      <c r="P534">
        <v>1</v>
      </c>
    </row>
    <row r="535" spans="1:16" x14ac:dyDescent="0.3">
      <c r="A535" s="7" t="s">
        <v>260</v>
      </c>
      <c r="B535" t="s">
        <v>258</v>
      </c>
      <c r="C535" t="s">
        <v>249</v>
      </c>
      <c r="D535" s="1">
        <v>45393</v>
      </c>
      <c r="E535" s="17">
        <v>0.25</v>
      </c>
      <c r="F535" s="17">
        <v>0.25694444444444398</v>
      </c>
      <c r="H535" s="4" t="s">
        <v>216</v>
      </c>
      <c r="I535" s="5" t="s">
        <v>220</v>
      </c>
      <c r="J535" s="5" t="s">
        <v>222</v>
      </c>
      <c r="K535">
        <v>2</v>
      </c>
      <c r="L535">
        <v>1</v>
      </c>
      <c r="M535">
        <v>1</v>
      </c>
      <c r="N535">
        <v>4</v>
      </c>
      <c r="O535">
        <v>3</v>
      </c>
      <c r="P535">
        <v>1</v>
      </c>
    </row>
    <row r="536" spans="1:16" x14ac:dyDescent="0.3">
      <c r="A536" s="7" t="s">
        <v>253</v>
      </c>
      <c r="B536" t="s">
        <v>255</v>
      </c>
      <c r="C536" t="s">
        <v>249</v>
      </c>
      <c r="D536" s="1">
        <v>45393</v>
      </c>
      <c r="E536" s="17">
        <v>0.25</v>
      </c>
      <c r="F536" s="17">
        <v>0.25694444444444398</v>
      </c>
      <c r="H536" s="4" t="s">
        <v>216</v>
      </c>
      <c r="I536" s="5" t="s">
        <v>220</v>
      </c>
      <c r="J536" s="5" t="s">
        <v>222</v>
      </c>
      <c r="K536">
        <v>2</v>
      </c>
      <c r="L536">
        <v>1</v>
      </c>
      <c r="M536">
        <v>1</v>
      </c>
      <c r="N536">
        <v>4</v>
      </c>
      <c r="O536">
        <v>3</v>
      </c>
      <c r="P536">
        <v>1</v>
      </c>
    </row>
    <row r="537" spans="1:16" x14ac:dyDescent="0.3">
      <c r="A537" s="7" t="s">
        <v>251</v>
      </c>
      <c r="B537" t="s">
        <v>248</v>
      </c>
      <c r="C537" t="s">
        <v>249</v>
      </c>
      <c r="D537" s="1">
        <v>45393</v>
      </c>
      <c r="E537" s="17">
        <v>0.25</v>
      </c>
      <c r="F537" s="17">
        <v>0.25694444444444398</v>
      </c>
      <c r="H537" s="4" t="s">
        <v>216</v>
      </c>
      <c r="I537" s="5" t="s">
        <v>220</v>
      </c>
      <c r="J537" s="5" t="s">
        <v>222</v>
      </c>
      <c r="K537">
        <v>2</v>
      </c>
      <c r="L537">
        <v>1</v>
      </c>
      <c r="M537">
        <v>1</v>
      </c>
      <c r="N537">
        <v>4</v>
      </c>
      <c r="O537">
        <v>3</v>
      </c>
      <c r="P537">
        <v>1</v>
      </c>
    </row>
    <row r="538" spans="1:16" x14ac:dyDescent="0.3">
      <c r="A538" s="7" t="s">
        <v>289</v>
      </c>
      <c r="B538" t="s">
        <v>290</v>
      </c>
      <c r="C538" t="s">
        <v>249</v>
      </c>
      <c r="D538" s="1">
        <v>45394</v>
      </c>
      <c r="E538" s="17">
        <v>0.25</v>
      </c>
      <c r="F538" s="17">
        <v>0.25694444444444398</v>
      </c>
      <c r="G538" t="s">
        <v>302</v>
      </c>
      <c r="H538" s="4" t="s">
        <v>216</v>
      </c>
      <c r="I538" s="5" t="s">
        <v>220</v>
      </c>
      <c r="J538" s="5" t="s">
        <v>222</v>
      </c>
      <c r="K538">
        <v>3</v>
      </c>
      <c r="L538">
        <v>1</v>
      </c>
      <c r="M538">
        <v>1</v>
      </c>
      <c r="N538">
        <v>4</v>
      </c>
      <c r="O538">
        <v>3</v>
      </c>
      <c r="P538">
        <v>1</v>
      </c>
    </row>
    <row r="539" spans="1:16" x14ac:dyDescent="0.3">
      <c r="A539" s="7" t="s">
        <v>262</v>
      </c>
      <c r="B539" t="s">
        <v>263</v>
      </c>
      <c r="C539" t="s">
        <v>249</v>
      </c>
      <c r="D539" s="1">
        <v>45394</v>
      </c>
      <c r="E539" s="17">
        <v>0.25</v>
      </c>
      <c r="F539" s="17">
        <v>0.25694444444444398</v>
      </c>
      <c r="G539" t="s">
        <v>302</v>
      </c>
      <c r="H539" s="4" t="s">
        <v>216</v>
      </c>
      <c r="I539" s="5" t="s">
        <v>220</v>
      </c>
      <c r="J539" s="5" t="s">
        <v>222</v>
      </c>
      <c r="K539">
        <v>3</v>
      </c>
      <c r="L539">
        <v>1</v>
      </c>
      <c r="M539">
        <v>1</v>
      </c>
      <c r="N539">
        <v>4</v>
      </c>
      <c r="O539">
        <v>3</v>
      </c>
      <c r="P539">
        <v>1</v>
      </c>
    </row>
    <row r="540" spans="1:16" x14ac:dyDescent="0.3">
      <c r="A540" s="7" t="s">
        <v>253</v>
      </c>
      <c r="B540" t="s">
        <v>255</v>
      </c>
      <c r="C540" t="s">
        <v>249</v>
      </c>
      <c r="D540" s="1">
        <v>45394</v>
      </c>
      <c r="E540" s="17">
        <v>0.25</v>
      </c>
      <c r="F540" s="17">
        <v>0.25694444444444398</v>
      </c>
      <c r="G540" t="s">
        <v>302</v>
      </c>
      <c r="H540" s="4" t="s">
        <v>216</v>
      </c>
      <c r="I540" s="5" t="s">
        <v>220</v>
      </c>
      <c r="J540" s="5" t="s">
        <v>222</v>
      </c>
      <c r="K540">
        <v>3</v>
      </c>
      <c r="L540">
        <v>1</v>
      </c>
      <c r="M540">
        <v>1</v>
      </c>
      <c r="N540">
        <v>4</v>
      </c>
      <c r="O540">
        <v>3</v>
      </c>
      <c r="P540">
        <v>1</v>
      </c>
    </row>
    <row r="541" spans="1:16" x14ac:dyDescent="0.3">
      <c r="A541" s="7" t="s">
        <v>275</v>
      </c>
      <c r="B541" t="s">
        <v>274</v>
      </c>
      <c r="C541" t="s">
        <v>249</v>
      </c>
      <c r="D541" s="1">
        <v>45394</v>
      </c>
      <c r="E541" s="17">
        <v>0.25</v>
      </c>
      <c r="F541" s="17">
        <v>0.25694444444444398</v>
      </c>
      <c r="G541" t="s">
        <v>302</v>
      </c>
      <c r="H541" s="4" t="s">
        <v>216</v>
      </c>
      <c r="I541" s="5" t="s">
        <v>220</v>
      </c>
      <c r="J541" s="5" t="s">
        <v>222</v>
      </c>
      <c r="K541">
        <v>3</v>
      </c>
      <c r="L541">
        <v>1</v>
      </c>
      <c r="M541">
        <v>1</v>
      </c>
      <c r="N541">
        <v>4</v>
      </c>
      <c r="O541">
        <v>3</v>
      </c>
      <c r="P541">
        <v>1</v>
      </c>
    </row>
    <row r="542" spans="1:16" x14ac:dyDescent="0.3">
      <c r="A542" s="7" t="s">
        <v>250</v>
      </c>
      <c r="B542" t="s">
        <v>257</v>
      </c>
      <c r="C542" t="s">
        <v>249</v>
      </c>
      <c r="D542" s="1">
        <v>45394</v>
      </c>
      <c r="E542" s="17">
        <v>0.25</v>
      </c>
      <c r="F542" s="17">
        <v>0.25694444444444398</v>
      </c>
      <c r="G542" t="s">
        <v>302</v>
      </c>
      <c r="H542" s="4" t="s">
        <v>216</v>
      </c>
      <c r="I542" s="5" t="s">
        <v>220</v>
      </c>
      <c r="J542" s="5" t="s">
        <v>222</v>
      </c>
      <c r="K542">
        <v>3</v>
      </c>
      <c r="L542">
        <v>1</v>
      </c>
      <c r="M542">
        <v>1</v>
      </c>
      <c r="N542">
        <v>4</v>
      </c>
      <c r="O542">
        <v>3</v>
      </c>
      <c r="P542">
        <v>1</v>
      </c>
    </row>
    <row r="543" spans="1:16" x14ac:dyDescent="0.3">
      <c r="A543" s="7" t="s">
        <v>260</v>
      </c>
      <c r="B543" t="s">
        <v>258</v>
      </c>
      <c r="C543" t="s">
        <v>249</v>
      </c>
      <c r="D543" s="1">
        <v>45394</v>
      </c>
      <c r="E543" s="17">
        <v>0.25</v>
      </c>
      <c r="F543" s="17">
        <v>0.25694444444444398</v>
      </c>
      <c r="G543" t="s">
        <v>302</v>
      </c>
      <c r="H543" s="4" t="s">
        <v>216</v>
      </c>
      <c r="I543" s="5" t="s">
        <v>220</v>
      </c>
      <c r="J543" s="5" t="s">
        <v>222</v>
      </c>
      <c r="K543">
        <v>3</v>
      </c>
      <c r="L543">
        <v>1</v>
      </c>
      <c r="M543">
        <v>1</v>
      </c>
      <c r="N543">
        <v>4</v>
      </c>
      <c r="O543">
        <v>3</v>
      </c>
      <c r="P543">
        <v>1</v>
      </c>
    </row>
    <row r="544" spans="1:16" x14ac:dyDescent="0.3">
      <c r="A544" s="7" t="s">
        <v>275</v>
      </c>
      <c r="B544" t="s">
        <v>274</v>
      </c>
      <c r="C544" t="s">
        <v>249</v>
      </c>
      <c r="D544" s="1">
        <v>45338</v>
      </c>
      <c r="E544" s="17">
        <v>0.25</v>
      </c>
      <c r="F544" s="17">
        <v>0.25694444444444442</v>
      </c>
      <c r="H544" s="4" t="s">
        <v>515</v>
      </c>
      <c r="I544" s="5" t="s">
        <v>568</v>
      </c>
      <c r="J544" s="5" t="s">
        <v>569</v>
      </c>
      <c r="K544">
        <v>1</v>
      </c>
      <c r="L544">
        <v>1</v>
      </c>
      <c r="M544">
        <v>1</v>
      </c>
      <c r="N544">
        <v>4</v>
      </c>
      <c r="O544">
        <v>1</v>
      </c>
      <c r="P544">
        <v>2</v>
      </c>
    </row>
    <row r="545" spans="1:16" x14ac:dyDescent="0.3">
      <c r="A545" s="7" t="s">
        <v>253</v>
      </c>
      <c r="B545" t="s">
        <v>255</v>
      </c>
      <c r="C545" t="s">
        <v>249</v>
      </c>
      <c r="D545" s="1">
        <v>45338</v>
      </c>
      <c r="E545" s="17">
        <v>0.25</v>
      </c>
      <c r="F545" s="17">
        <v>0.25694444444444442</v>
      </c>
      <c r="H545" s="4" t="s">
        <v>515</v>
      </c>
      <c r="I545" s="5" t="s">
        <v>568</v>
      </c>
      <c r="J545" s="5" t="s">
        <v>569</v>
      </c>
      <c r="K545">
        <v>1</v>
      </c>
      <c r="L545">
        <v>1</v>
      </c>
      <c r="M545">
        <v>1</v>
      </c>
      <c r="N545">
        <v>4</v>
      </c>
      <c r="O545">
        <v>1</v>
      </c>
      <c r="P545">
        <v>2</v>
      </c>
    </row>
    <row r="546" spans="1:16" x14ac:dyDescent="0.3">
      <c r="A546" s="7" t="s">
        <v>260</v>
      </c>
      <c r="B546" t="s">
        <v>258</v>
      </c>
      <c r="C546" t="s">
        <v>249</v>
      </c>
      <c r="D546" s="1">
        <v>45338</v>
      </c>
      <c r="E546" s="17">
        <v>0.25</v>
      </c>
      <c r="F546" s="17">
        <v>0.25694444444444398</v>
      </c>
      <c r="H546" s="4" t="s">
        <v>515</v>
      </c>
      <c r="I546" s="5" t="s">
        <v>568</v>
      </c>
      <c r="J546" s="5" t="s">
        <v>569</v>
      </c>
      <c r="K546">
        <v>1</v>
      </c>
      <c r="L546">
        <v>1</v>
      </c>
      <c r="M546">
        <v>1</v>
      </c>
      <c r="N546">
        <v>4</v>
      </c>
      <c r="O546">
        <v>1</v>
      </c>
      <c r="P546">
        <v>2</v>
      </c>
    </row>
    <row r="547" spans="1:16" x14ac:dyDescent="0.3">
      <c r="A547" s="7" t="s">
        <v>251</v>
      </c>
      <c r="B547" t="s">
        <v>248</v>
      </c>
      <c r="C547" t="s">
        <v>249</v>
      </c>
      <c r="D547" s="1">
        <v>45338</v>
      </c>
      <c r="E547" s="17">
        <v>0.25</v>
      </c>
      <c r="F547" s="17">
        <v>0.25694444444444398</v>
      </c>
      <c r="H547" s="4" t="s">
        <v>515</v>
      </c>
      <c r="I547" s="5" t="s">
        <v>568</v>
      </c>
      <c r="J547" s="5" t="s">
        <v>569</v>
      </c>
      <c r="K547">
        <v>1</v>
      </c>
      <c r="L547">
        <v>1</v>
      </c>
      <c r="M547">
        <v>1</v>
      </c>
      <c r="N547">
        <v>4</v>
      </c>
      <c r="O547">
        <v>1</v>
      </c>
      <c r="P547">
        <v>2</v>
      </c>
    </row>
    <row r="548" spans="1:16" x14ac:dyDescent="0.3">
      <c r="A548" s="7" t="s">
        <v>250</v>
      </c>
      <c r="B548" t="s">
        <v>257</v>
      </c>
      <c r="C548" t="s">
        <v>249</v>
      </c>
      <c r="D548" s="1">
        <v>45338</v>
      </c>
      <c r="E548" s="17">
        <v>0.25</v>
      </c>
      <c r="F548" s="17">
        <v>0.25694444444444398</v>
      </c>
      <c r="H548" s="4" t="s">
        <v>515</v>
      </c>
      <c r="I548" s="5" t="s">
        <v>568</v>
      </c>
      <c r="J548" s="5" t="s">
        <v>569</v>
      </c>
      <c r="K548">
        <v>1</v>
      </c>
      <c r="L548">
        <v>1</v>
      </c>
      <c r="M548">
        <v>1</v>
      </c>
      <c r="N548">
        <v>4</v>
      </c>
      <c r="O548">
        <v>1</v>
      </c>
      <c r="P548">
        <v>2</v>
      </c>
    </row>
    <row r="549" spans="1:16" x14ac:dyDescent="0.3">
      <c r="A549" s="7" t="s">
        <v>252</v>
      </c>
      <c r="B549" t="s">
        <v>256</v>
      </c>
      <c r="C549" t="s">
        <v>249</v>
      </c>
      <c r="D549" s="1">
        <v>45338</v>
      </c>
      <c r="E549" s="17">
        <v>0.25</v>
      </c>
      <c r="F549" s="17">
        <v>0.25694444444444398</v>
      </c>
      <c r="H549" s="4" t="s">
        <v>515</v>
      </c>
      <c r="I549" s="5" t="s">
        <v>568</v>
      </c>
      <c r="J549" s="5" t="s">
        <v>569</v>
      </c>
      <c r="K549">
        <v>1</v>
      </c>
      <c r="L549">
        <v>1</v>
      </c>
      <c r="M549">
        <v>1</v>
      </c>
      <c r="N549">
        <v>4</v>
      </c>
      <c r="O549">
        <v>1</v>
      </c>
      <c r="P549">
        <v>2</v>
      </c>
    </row>
    <row r="550" spans="1:16" x14ac:dyDescent="0.3">
      <c r="A550" s="7" t="s">
        <v>262</v>
      </c>
      <c r="B550" t="s">
        <v>263</v>
      </c>
      <c r="C550" t="s">
        <v>249</v>
      </c>
      <c r="D550" s="1">
        <v>45338</v>
      </c>
      <c r="E550" s="17">
        <v>0.25</v>
      </c>
      <c r="F550" s="17">
        <v>0.25694444444444398</v>
      </c>
      <c r="H550" s="4" t="s">
        <v>515</v>
      </c>
      <c r="I550" s="5" t="s">
        <v>568</v>
      </c>
      <c r="J550" s="5" t="s">
        <v>569</v>
      </c>
      <c r="K550">
        <v>1</v>
      </c>
      <c r="L550">
        <v>1</v>
      </c>
      <c r="M550">
        <v>1</v>
      </c>
      <c r="N550">
        <v>4</v>
      </c>
      <c r="O550">
        <v>1</v>
      </c>
      <c r="P550">
        <v>2</v>
      </c>
    </row>
    <row r="551" spans="1:16" x14ac:dyDescent="0.3">
      <c r="A551" s="7" t="s">
        <v>289</v>
      </c>
      <c r="B551" t="s">
        <v>290</v>
      </c>
      <c r="C551" t="s">
        <v>249</v>
      </c>
      <c r="D551" s="1">
        <v>45338</v>
      </c>
      <c r="E551" s="17">
        <v>0.25</v>
      </c>
      <c r="F551" s="17">
        <v>0.25694444444444398</v>
      </c>
      <c r="H551" s="4" t="s">
        <v>515</v>
      </c>
      <c r="I551" s="5" t="s">
        <v>568</v>
      </c>
      <c r="J551" s="5" t="s">
        <v>569</v>
      </c>
      <c r="K551">
        <v>1</v>
      </c>
      <c r="L551">
        <v>1</v>
      </c>
      <c r="M551">
        <v>1</v>
      </c>
      <c r="N551">
        <v>4</v>
      </c>
      <c r="O551">
        <v>1</v>
      </c>
      <c r="P551">
        <v>2</v>
      </c>
    </row>
    <row r="552" spans="1:16" x14ac:dyDescent="0.3">
      <c r="A552" s="7" t="s">
        <v>275</v>
      </c>
      <c r="B552" t="s">
        <v>274</v>
      </c>
      <c r="C552" t="s">
        <v>249</v>
      </c>
      <c r="D552" s="1">
        <v>45339</v>
      </c>
      <c r="E552" s="17">
        <v>0.25</v>
      </c>
      <c r="F552" s="17">
        <v>0.25694444444444398</v>
      </c>
      <c r="H552" s="4" t="s">
        <v>515</v>
      </c>
      <c r="I552" s="5" t="s">
        <v>568</v>
      </c>
      <c r="J552" s="5" t="s">
        <v>569</v>
      </c>
      <c r="K552">
        <v>1</v>
      </c>
      <c r="L552">
        <v>1</v>
      </c>
      <c r="M552">
        <v>4</v>
      </c>
      <c r="N552">
        <v>4</v>
      </c>
      <c r="O552">
        <v>1</v>
      </c>
      <c r="P552">
        <v>3</v>
      </c>
    </row>
    <row r="553" spans="1:16" x14ac:dyDescent="0.3">
      <c r="A553" s="7" t="s">
        <v>253</v>
      </c>
      <c r="B553" t="s">
        <v>255</v>
      </c>
      <c r="C553" t="s">
        <v>249</v>
      </c>
      <c r="D553" s="1">
        <v>45339</v>
      </c>
      <c r="E553" s="17">
        <v>0.25</v>
      </c>
      <c r="F553" s="17">
        <v>0.25694444444444398</v>
      </c>
      <c r="H553" s="4" t="s">
        <v>515</v>
      </c>
      <c r="I553" s="5" t="s">
        <v>568</v>
      </c>
      <c r="J553" s="5" t="s">
        <v>569</v>
      </c>
      <c r="K553">
        <v>1</v>
      </c>
      <c r="L553">
        <v>1</v>
      </c>
      <c r="M553">
        <v>4</v>
      </c>
      <c r="N553">
        <v>4</v>
      </c>
      <c r="O553">
        <v>1</v>
      </c>
      <c r="P553">
        <v>3</v>
      </c>
    </row>
    <row r="554" spans="1:16" x14ac:dyDescent="0.3">
      <c r="A554" s="7" t="s">
        <v>252</v>
      </c>
      <c r="B554" t="s">
        <v>256</v>
      </c>
      <c r="C554" t="s">
        <v>249</v>
      </c>
      <c r="D554" s="1">
        <v>45339</v>
      </c>
      <c r="E554" s="17">
        <v>0.25</v>
      </c>
      <c r="F554" s="17">
        <v>0.25694444444444398</v>
      </c>
      <c r="H554" s="4" t="s">
        <v>515</v>
      </c>
      <c r="I554" s="5" t="s">
        <v>568</v>
      </c>
      <c r="J554" s="5" t="s">
        <v>569</v>
      </c>
      <c r="K554">
        <v>1</v>
      </c>
      <c r="L554">
        <v>1</v>
      </c>
      <c r="M554">
        <v>4</v>
      </c>
      <c r="N554">
        <v>4</v>
      </c>
      <c r="O554">
        <v>1</v>
      </c>
      <c r="P554">
        <v>3</v>
      </c>
    </row>
    <row r="555" spans="1:16" x14ac:dyDescent="0.3">
      <c r="A555" s="7" t="s">
        <v>262</v>
      </c>
      <c r="B555" t="s">
        <v>263</v>
      </c>
      <c r="C555" t="s">
        <v>249</v>
      </c>
      <c r="D555" s="1">
        <v>45339</v>
      </c>
      <c r="E555" s="17">
        <v>0.25</v>
      </c>
      <c r="F555" s="17">
        <v>0.25694444444444398</v>
      </c>
      <c r="H555" s="4" t="s">
        <v>515</v>
      </c>
      <c r="I555" s="5" t="s">
        <v>568</v>
      </c>
      <c r="J555" s="5" t="s">
        <v>569</v>
      </c>
      <c r="K555">
        <v>1</v>
      </c>
      <c r="L555">
        <v>1</v>
      </c>
      <c r="M555">
        <v>4</v>
      </c>
      <c r="N555">
        <v>4</v>
      </c>
      <c r="O555">
        <v>1</v>
      </c>
      <c r="P555">
        <v>3</v>
      </c>
    </row>
    <row r="556" spans="1:16" x14ac:dyDescent="0.3">
      <c r="A556" s="7" t="s">
        <v>260</v>
      </c>
      <c r="B556" t="s">
        <v>258</v>
      </c>
      <c r="C556" t="s">
        <v>249</v>
      </c>
      <c r="D556" s="1">
        <v>45339</v>
      </c>
      <c r="E556" s="17">
        <v>0.25</v>
      </c>
      <c r="F556" s="17">
        <v>0.25694444444444398</v>
      </c>
      <c r="H556" s="4" t="s">
        <v>515</v>
      </c>
      <c r="I556" s="5" t="s">
        <v>568</v>
      </c>
      <c r="J556" s="5" t="s">
        <v>569</v>
      </c>
      <c r="K556">
        <v>1</v>
      </c>
      <c r="L556">
        <v>1</v>
      </c>
      <c r="M556">
        <v>4</v>
      </c>
      <c r="N556">
        <v>4</v>
      </c>
      <c r="O556">
        <v>1</v>
      </c>
      <c r="P556">
        <v>3</v>
      </c>
    </row>
    <row r="557" spans="1:16" x14ac:dyDescent="0.3">
      <c r="A557" s="7" t="s">
        <v>251</v>
      </c>
      <c r="B557" t="s">
        <v>248</v>
      </c>
      <c r="C557" t="s">
        <v>249</v>
      </c>
      <c r="D557" s="1">
        <v>45339</v>
      </c>
      <c r="E557" s="17">
        <v>0.25</v>
      </c>
      <c r="F557" s="17">
        <v>0.25694444444444398</v>
      </c>
      <c r="H557" s="4" t="s">
        <v>515</v>
      </c>
      <c r="I557" s="5" t="s">
        <v>568</v>
      </c>
      <c r="J557" s="5" t="s">
        <v>569</v>
      </c>
      <c r="K557">
        <v>1</v>
      </c>
      <c r="L557">
        <v>1</v>
      </c>
      <c r="M557">
        <v>4</v>
      </c>
      <c r="N557">
        <v>4</v>
      </c>
      <c r="O557">
        <v>1</v>
      </c>
      <c r="P557">
        <v>3</v>
      </c>
    </row>
    <row r="558" spans="1:16" x14ac:dyDescent="0.3">
      <c r="A558" s="7" t="s">
        <v>250</v>
      </c>
      <c r="B558" t="s">
        <v>257</v>
      </c>
      <c r="C558" t="s">
        <v>249</v>
      </c>
      <c r="D558" s="1">
        <v>45350</v>
      </c>
      <c r="E558" s="17">
        <v>0.25</v>
      </c>
      <c r="F558" s="17">
        <v>0.25694444444444442</v>
      </c>
      <c r="H558" t="s">
        <v>516</v>
      </c>
      <c r="I558" s="2" t="s">
        <v>572</v>
      </c>
      <c r="J558" s="2" t="s">
        <v>571</v>
      </c>
      <c r="K558">
        <v>4</v>
      </c>
      <c r="L558">
        <v>1</v>
      </c>
      <c r="M558">
        <v>1</v>
      </c>
      <c r="N558">
        <v>3</v>
      </c>
      <c r="O558">
        <v>1</v>
      </c>
      <c r="P558">
        <v>1</v>
      </c>
    </row>
    <row r="559" spans="1:16" x14ac:dyDescent="0.3">
      <c r="A559" s="7" t="s">
        <v>251</v>
      </c>
      <c r="B559" t="s">
        <v>248</v>
      </c>
      <c r="C559" t="s">
        <v>249</v>
      </c>
      <c r="D559" s="1">
        <v>45350</v>
      </c>
      <c r="E559" s="17">
        <v>0.25</v>
      </c>
      <c r="F559" s="17">
        <v>0.25694444444444442</v>
      </c>
      <c r="H559" t="s">
        <v>516</v>
      </c>
      <c r="I559" s="2" t="s">
        <v>572</v>
      </c>
      <c r="J559" s="2" t="s">
        <v>571</v>
      </c>
      <c r="K559">
        <v>4</v>
      </c>
      <c r="L559">
        <v>1</v>
      </c>
      <c r="M559">
        <v>1</v>
      </c>
      <c r="N559">
        <v>3</v>
      </c>
      <c r="O559">
        <v>1</v>
      </c>
      <c r="P559">
        <v>1</v>
      </c>
    </row>
    <row r="560" spans="1:16" x14ac:dyDescent="0.3">
      <c r="A560" s="7" t="s">
        <v>252</v>
      </c>
      <c r="B560" t="s">
        <v>256</v>
      </c>
      <c r="C560" t="s">
        <v>249</v>
      </c>
      <c r="D560" s="1">
        <v>45350</v>
      </c>
      <c r="E560" s="17">
        <v>0.25</v>
      </c>
      <c r="F560" s="17">
        <v>0.25694444444444398</v>
      </c>
      <c r="H560" t="s">
        <v>516</v>
      </c>
      <c r="I560" s="2" t="s">
        <v>572</v>
      </c>
      <c r="J560" s="2" t="s">
        <v>571</v>
      </c>
      <c r="K560">
        <v>4</v>
      </c>
      <c r="L560">
        <v>1</v>
      </c>
      <c r="M560">
        <v>1</v>
      </c>
      <c r="N560">
        <v>3</v>
      </c>
      <c r="O560">
        <v>1</v>
      </c>
      <c r="P560">
        <v>1</v>
      </c>
    </row>
    <row r="561" spans="1:16" x14ac:dyDescent="0.3">
      <c r="A561" s="7" t="s">
        <v>253</v>
      </c>
      <c r="B561" t="s">
        <v>255</v>
      </c>
      <c r="C561" t="s">
        <v>249</v>
      </c>
      <c r="D561" s="1">
        <v>45350</v>
      </c>
      <c r="E561" s="17">
        <v>0.25</v>
      </c>
      <c r="F561" s="17">
        <v>0.25694444444444398</v>
      </c>
      <c r="H561" t="s">
        <v>516</v>
      </c>
      <c r="I561" s="2" t="s">
        <v>572</v>
      </c>
      <c r="J561" s="2" t="s">
        <v>571</v>
      </c>
      <c r="K561">
        <v>4</v>
      </c>
      <c r="L561">
        <v>1</v>
      </c>
      <c r="M561">
        <v>1</v>
      </c>
      <c r="N561">
        <v>3</v>
      </c>
      <c r="O561">
        <v>1</v>
      </c>
      <c r="P561">
        <v>1</v>
      </c>
    </row>
    <row r="562" spans="1:16" x14ac:dyDescent="0.3">
      <c r="A562" s="7" t="s">
        <v>262</v>
      </c>
      <c r="B562" t="s">
        <v>263</v>
      </c>
      <c r="C562" t="s">
        <v>249</v>
      </c>
      <c r="D562" s="1">
        <v>45351</v>
      </c>
      <c r="E562" s="17">
        <v>0.25</v>
      </c>
      <c r="F562" s="17">
        <v>0.25694444444444398</v>
      </c>
      <c r="H562" t="s">
        <v>516</v>
      </c>
      <c r="I562" s="2" t="s">
        <v>572</v>
      </c>
      <c r="J562" s="2" t="s">
        <v>571</v>
      </c>
      <c r="K562">
        <v>4</v>
      </c>
      <c r="L562">
        <v>1</v>
      </c>
      <c r="M562">
        <v>1</v>
      </c>
      <c r="N562">
        <v>3</v>
      </c>
      <c r="O562">
        <v>1</v>
      </c>
      <c r="P562">
        <v>1</v>
      </c>
    </row>
    <row r="563" spans="1:16" x14ac:dyDescent="0.3">
      <c r="A563" s="7" t="s">
        <v>250</v>
      </c>
      <c r="B563" t="s">
        <v>257</v>
      </c>
      <c r="C563" t="s">
        <v>249</v>
      </c>
      <c r="D563" s="1">
        <v>45351</v>
      </c>
      <c r="E563" s="17">
        <v>0.25</v>
      </c>
      <c r="F563" s="17">
        <v>0.25694444444444398</v>
      </c>
      <c r="H563" t="s">
        <v>516</v>
      </c>
      <c r="I563" s="2" t="s">
        <v>572</v>
      </c>
      <c r="J563" s="2" t="s">
        <v>571</v>
      </c>
      <c r="K563">
        <v>4</v>
      </c>
      <c r="L563">
        <v>1</v>
      </c>
      <c r="M563">
        <v>1</v>
      </c>
      <c r="N563">
        <v>3</v>
      </c>
      <c r="O563">
        <v>1</v>
      </c>
      <c r="P563">
        <v>1</v>
      </c>
    </row>
    <row r="564" spans="1:16" x14ac:dyDescent="0.3">
      <c r="A564" s="7" t="s">
        <v>252</v>
      </c>
      <c r="B564" t="s">
        <v>256</v>
      </c>
      <c r="C564" t="s">
        <v>249</v>
      </c>
      <c r="D564" s="1">
        <v>45351</v>
      </c>
      <c r="E564" s="17">
        <v>0.25</v>
      </c>
      <c r="F564" s="17">
        <v>0.25694444444444398</v>
      </c>
      <c r="H564" t="s">
        <v>516</v>
      </c>
      <c r="I564" s="2" t="s">
        <v>572</v>
      </c>
      <c r="J564" s="2" t="s">
        <v>571</v>
      </c>
      <c r="K564">
        <v>4</v>
      </c>
      <c r="L564">
        <v>1</v>
      </c>
      <c r="M564">
        <v>1</v>
      </c>
      <c r="N564">
        <v>3</v>
      </c>
      <c r="O564">
        <v>1</v>
      </c>
      <c r="P564">
        <v>1</v>
      </c>
    </row>
    <row r="565" spans="1:16" x14ac:dyDescent="0.3">
      <c r="A565" s="7" t="s">
        <v>253</v>
      </c>
      <c r="B565" t="s">
        <v>255</v>
      </c>
      <c r="C565" t="s">
        <v>249</v>
      </c>
      <c r="D565" s="1">
        <v>45351</v>
      </c>
      <c r="E565" s="17">
        <v>0.25</v>
      </c>
      <c r="F565" s="17">
        <v>0.25694444444444398</v>
      </c>
      <c r="H565" t="s">
        <v>516</v>
      </c>
      <c r="I565" s="2" t="s">
        <v>572</v>
      </c>
      <c r="J565" s="2" t="s">
        <v>571</v>
      </c>
      <c r="K565">
        <v>4</v>
      </c>
      <c r="L565">
        <v>1</v>
      </c>
      <c r="M565">
        <v>1</v>
      </c>
      <c r="N565">
        <v>3</v>
      </c>
      <c r="O565">
        <v>1</v>
      </c>
      <c r="P565">
        <v>1</v>
      </c>
    </row>
  </sheetData>
  <autoFilter ref="A1:P543" xr:uid="{92DB0368-8500-4B64-BB44-E1EF0546AFD7}">
    <sortState xmlns:xlrd2="http://schemas.microsoft.com/office/spreadsheetml/2017/richdata2" ref="A2:P543">
      <sortCondition ref="H1:H543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2DC1-AB66-4F3F-BA05-AE3D46B8EF97}">
  <dimension ref="A1:S341"/>
  <sheetViews>
    <sheetView zoomScale="70" zoomScaleNormal="70" workbookViewId="0">
      <selection activeCell="G3" sqref="G3"/>
    </sheetView>
  </sheetViews>
  <sheetFormatPr baseColWidth="10" defaultRowHeight="15.6" x14ac:dyDescent="0.3"/>
  <cols>
    <col min="14" max="14" width="17.21875" style="36" bestFit="1" customWidth="1"/>
    <col min="15" max="15" width="63.5546875" style="36" bestFit="1" customWidth="1"/>
  </cols>
  <sheetData>
    <row r="1" spans="1:19" x14ac:dyDescent="0.3">
      <c r="A1" s="7" t="s">
        <v>235</v>
      </c>
      <c r="B1" s="7" t="s">
        <v>236</v>
      </c>
      <c r="C1" s="7" t="s">
        <v>246</v>
      </c>
      <c r="D1" s="7" t="s">
        <v>245</v>
      </c>
      <c r="I1" s="7" t="s">
        <v>245</v>
      </c>
      <c r="J1" s="7" t="s">
        <v>307</v>
      </c>
      <c r="K1" s="7" t="s">
        <v>306</v>
      </c>
      <c r="N1" s="36" t="s">
        <v>514</v>
      </c>
      <c r="O1" s="36" t="s">
        <v>519</v>
      </c>
    </row>
    <row r="2" spans="1:19" x14ac:dyDescent="0.3">
      <c r="A2" s="7" t="s">
        <v>243</v>
      </c>
      <c r="B2" s="7" t="s">
        <v>244</v>
      </c>
      <c r="C2" s="7" t="s">
        <v>247</v>
      </c>
      <c r="D2" s="7" t="s">
        <v>261</v>
      </c>
      <c r="I2" s="7" t="s">
        <v>261</v>
      </c>
      <c r="J2" s="7" t="s">
        <v>264</v>
      </c>
      <c r="K2" s="7" t="s">
        <v>249</v>
      </c>
      <c r="N2" s="36" t="s">
        <v>195</v>
      </c>
      <c r="O2" s="36" t="s">
        <v>520</v>
      </c>
      <c r="Q2" t="s">
        <v>680</v>
      </c>
    </row>
    <row r="3" spans="1:19" x14ac:dyDescent="0.3">
      <c r="A3" s="7" t="s">
        <v>253</v>
      </c>
      <c r="B3" t="s">
        <v>255</v>
      </c>
      <c r="C3" t="s">
        <v>249</v>
      </c>
      <c r="D3" s="10" t="s">
        <v>53</v>
      </c>
      <c r="I3" s="10" t="s">
        <v>53</v>
      </c>
      <c r="J3">
        <f>COUNTIF(C3:C7,"Natif")</f>
        <v>0</v>
      </c>
      <c r="K3">
        <f>COUNTIF(C3:C7,"Introduit")</f>
        <v>5</v>
      </c>
      <c r="N3" s="36" t="s">
        <v>199</v>
      </c>
      <c r="O3" s="36" t="s">
        <v>521</v>
      </c>
      <c r="Q3" s="4" t="s">
        <v>314</v>
      </c>
      <c r="R3" s="5" t="s">
        <v>348</v>
      </c>
      <c r="S3" s="5" t="s">
        <v>349</v>
      </c>
    </row>
    <row r="4" spans="1:19" x14ac:dyDescent="0.3">
      <c r="A4" s="7" t="s">
        <v>262</v>
      </c>
      <c r="B4" t="s">
        <v>263</v>
      </c>
      <c r="C4" t="s">
        <v>249</v>
      </c>
      <c r="D4" s="10" t="s">
        <v>53</v>
      </c>
      <c r="I4" s="10" t="s">
        <v>0</v>
      </c>
      <c r="J4">
        <f>COUNTIF(C8:C14,"Natif")</f>
        <v>0</v>
      </c>
      <c r="K4">
        <f>COUNTIF(C8:C14,"Introduit")</f>
        <v>7</v>
      </c>
      <c r="N4" s="36" t="s">
        <v>32</v>
      </c>
      <c r="O4" s="36" t="s">
        <v>522</v>
      </c>
      <c r="Q4" s="35" t="s">
        <v>313</v>
      </c>
      <c r="R4" s="37" t="s">
        <v>350</v>
      </c>
      <c r="S4" s="37" t="s">
        <v>351</v>
      </c>
    </row>
    <row r="5" spans="1:19" x14ac:dyDescent="0.3">
      <c r="A5" s="7" t="s">
        <v>250</v>
      </c>
      <c r="B5" t="s">
        <v>257</v>
      </c>
      <c r="C5" t="s">
        <v>249</v>
      </c>
      <c r="D5" s="10" t="s">
        <v>53</v>
      </c>
      <c r="I5" s="14" t="s">
        <v>68</v>
      </c>
      <c r="J5">
        <f>COUNTIF(C15:C22,"Natif")</f>
        <v>0</v>
      </c>
      <c r="K5">
        <f>COUNTIF(C15:C22,"Introduit")</f>
        <v>8</v>
      </c>
      <c r="N5" s="36" t="s">
        <v>515</v>
      </c>
      <c r="O5" s="36" t="s">
        <v>523</v>
      </c>
    </row>
    <row r="6" spans="1:19" x14ac:dyDescent="0.3">
      <c r="A6" s="7" t="s">
        <v>251</v>
      </c>
      <c r="B6" t="s">
        <v>248</v>
      </c>
      <c r="C6" t="s">
        <v>249</v>
      </c>
      <c r="D6" s="10" t="s">
        <v>53</v>
      </c>
      <c r="I6" s="10" t="s">
        <v>72</v>
      </c>
      <c r="J6">
        <f>COUNTIF(C23:C28,"Natif")</f>
        <v>0</v>
      </c>
      <c r="K6">
        <f>COUNTIF(C23:C28,"Introduit")</f>
        <v>6</v>
      </c>
      <c r="N6" s="36" t="s">
        <v>164</v>
      </c>
      <c r="O6" s="36" t="s">
        <v>524</v>
      </c>
    </row>
    <row r="7" spans="1:19" x14ac:dyDescent="0.3">
      <c r="A7" s="7" t="s">
        <v>252</v>
      </c>
      <c r="B7" t="s">
        <v>256</v>
      </c>
      <c r="C7" t="s">
        <v>249</v>
      </c>
      <c r="D7" s="10" t="s">
        <v>53</v>
      </c>
      <c r="I7" s="14" t="s">
        <v>16</v>
      </c>
      <c r="J7">
        <f>COUNTIF(C29:C35,"Natif")</f>
        <v>1</v>
      </c>
      <c r="K7">
        <f>COUNTIF(C29:C35,"Introduit")</f>
        <v>6</v>
      </c>
      <c r="N7" s="36" t="s">
        <v>163</v>
      </c>
      <c r="O7" s="36" t="s">
        <v>525</v>
      </c>
    </row>
    <row r="8" spans="1:19" x14ac:dyDescent="0.3">
      <c r="A8" s="7" t="s">
        <v>253</v>
      </c>
      <c r="B8" s="10" t="s">
        <v>255</v>
      </c>
      <c r="C8" s="7" t="s">
        <v>249</v>
      </c>
      <c r="D8" s="10" t="s">
        <v>0</v>
      </c>
      <c r="I8" t="s">
        <v>76</v>
      </c>
      <c r="J8">
        <f>COUNTIF(C36:C43,"Natif")</f>
        <v>1</v>
      </c>
      <c r="K8">
        <f>COUNTIF(C36:C43,"Introduit")</f>
        <v>7</v>
      </c>
      <c r="N8" s="36" t="s">
        <v>165</v>
      </c>
      <c r="O8" s="36" t="s">
        <v>526</v>
      </c>
    </row>
    <row r="9" spans="1:19" x14ac:dyDescent="0.3">
      <c r="A9" s="7" t="s">
        <v>250</v>
      </c>
      <c r="B9" s="7" t="s">
        <v>257</v>
      </c>
      <c r="C9" s="7" t="s">
        <v>249</v>
      </c>
      <c r="D9" s="10" t="s">
        <v>0</v>
      </c>
      <c r="I9" s="4" t="s">
        <v>80</v>
      </c>
      <c r="J9">
        <f>COUNTIF(C44:C48,"Natif")</f>
        <v>0</v>
      </c>
      <c r="K9">
        <f>COUNTIF(C44:C48,"Introduit")</f>
        <v>5</v>
      </c>
      <c r="N9" s="36" t="s">
        <v>36</v>
      </c>
      <c r="O9" s="36" t="s">
        <v>527</v>
      </c>
    </row>
    <row r="10" spans="1:19" x14ac:dyDescent="0.3">
      <c r="A10" s="7" t="s">
        <v>260</v>
      </c>
      <c r="B10" s="10" t="s">
        <v>258</v>
      </c>
      <c r="C10" s="7" t="s">
        <v>249</v>
      </c>
      <c r="D10" s="10" t="s">
        <v>0</v>
      </c>
      <c r="I10" t="s">
        <v>84</v>
      </c>
      <c r="J10">
        <f>COUNTIF(C49:C54,"Natif")</f>
        <v>1</v>
      </c>
      <c r="K10">
        <f>COUNTIF(C49:C54,"Introduit")</f>
        <v>5</v>
      </c>
      <c r="N10" s="36" t="s">
        <v>166</v>
      </c>
      <c r="O10" s="36" t="s">
        <v>528</v>
      </c>
    </row>
    <row r="11" spans="1:19" x14ac:dyDescent="0.3">
      <c r="A11" s="7" t="s">
        <v>251</v>
      </c>
      <c r="B11" s="7" t="s">
        <v>248</v>
      </c>
      <c r="C11" s="7" t="s">
        <v>249</v>
      </c>
      <c r="D11" s="10" t="s">
        <v>0</v>
      </c>
      <c r="I11" s="4" t="s">
        <v>88</v>
      </c>
      <c r="J11">
        <f>COUNTIF(C55:C59,"Natif")</f>
        <v>0</v>
      </c>
      <c r="K11">
        <f>COUNTIF(C55:C59,"Introduit")</f>
        <v>5</v>
      </c>
      <c r="N11" s="36" t="s">
        <v>167</v>
      </c>
      <c r="O11" s="36" t="s">
        <v>529</v>
      </c>
    </row>
    <row r="12" spans="1:19" x14ac:dyDescent="0.3">
      <c r="A12" s="7" t="s">
        <v>252</v>
      </c>
      <c r="B12" s="10" t="s">
        <v>256</v>
      </c>
      <c r="C12" s="7" t="s">
        <v>249</v>
      </c>
      <c r="D12" s="10" t="s">
        <v>0</v>
      </c>
      <c r="I12" t="s">
        <v>92</v>
      </c>
      <c r="J12">
        <f>COUNTIF(C60:C66,"Natif")</f>
        <v>0</v>
      </c>
      <c r="K12">
        <f>COUNTIF(C60:C66,"Introduit")</f>
        <v>7</v>
      </c>
      <c r="N12" s="36" t="s">
        <v>171</v>
      </c>
      <c r="O12" s="36" t="s">
        <v>529</v>
      </c>
    </row>
    <row r="13" spans="1:19" x14ac:dyDescent="0.3">
      <c r="A13" s="7" t="s">
        <v>254</v>
      </c>
      <c r="B13" s="10" t="s">
        <v>259</v>
      </c>
      <c r="C13" s="7" t="s">
        <v>249</v>
      </c>
      <c r="D13" s="10" t="s">
        <v>0</v>
      </c>
      <c r="I13" s="4" t="s">
        <v>20</v>
      </c>
      <c r="J13">
        <f>COUNTIF(C67:C75,"Natif")</f>
        <v>2</v>
      </c>
      <c r="K13">
        <f>COUNTIF(C67:C75,"Introduit")</f>
        <v>7</v>
      </c>
      <c r="N13" s="36" t="s">
        <v>186</v>
      </c>
      <c r="O13" s="36" t="s">
        <v>312</v>
      </c>
    </row>
    <row r="14" spans="1:19" x14ac:dyDescent="0.3">
      <c r="A14" s="7" t="s">
        <v>289</v>
      </c>
      <c r="B14" t="s">
        <v>290</v>
      </c>
      <c r="C14" t="s">
        <v>249</v>
      </c>
      <c r="D14" s="10" t="s">
        <v>0</v>
      </c>
      <c r="I14" t="s">
        <v>95</v>
      </c>
      <c r="J14">
        <f>COUNTIF(C76:C79,"Natif")</f>
        <v>0</v>
      </c>
      <c r="K14">
        <f>COUNTIF(C76:C79,"Introduit")</f>
        <v>4</v>
      </c>
      <c r="N14" s="36" t="s">
        <v>187</v>
      </c>
      <c r="O14" s="36" t="s">
        <v>530</v>
      </c>
    </row>
    <row r="15" spans="1:19" x14ac:dyDescent="0.3">
      <c r="A15" s="7" t="s">
        <v>265</v>
      </c>
      <c r="B15" s="13" t="s">
        <v>266</v>
      </c>
      <c r="C15" s="7" t="s">
        <v>249</v>
      </c>
      <c r="D15" s="14" t="s">
        <v>68</v>
      </c>
      <c r="I15" s="4" t="s">
        <v>101</v>
      </c>
      <c r="J15">
        <f>COUNTIF(C80:C85,"Natif")</f>
        <v>0</v>
      </c>
      <c r="K15">
        <f>COUNTIF(C80:C85,"Introduit")</f>
        <v>6</v>
      </c>
      <c r="N15" s="36" t="s">
        <v>203</v>
      </c>
    </row>
    <row r="16" spans="1:19" x14ac:dyDescent="0.3">
      <c r="A16" s="7" t="s">
        <v>253</v>
      </c>
      <c r="B16" s="10" t="s">
        <v>255</v>
      </c>
      <c r="C16" s="7" t="s">
        <v>249</v>
      </c>
      <c r="D16" s="14" t="s">
        <v>68</v>
      </c>
      <c r="I16" t="s">
        <v>105</v>
      </c>
      <c r="J16">
        <f>COUNTIF(C86:C91,"Natif")</f>
        <v>1</v>
      </c>
      <c r="K16">
        <f>COUNTIF(C86:C91,"Introduit")</f>
        <v>5</v>
      </c>
      <c r="N16" s="36" t="s">
        <v>40</v>
      </c>
      <c r="O16" s="36" t="s">
        <v>531</v>
      </c>
    </row>
    <row r="17" spans="1:15" x14ac:dyDescent="0.3">
      <c r="A17" s="7" t="s">
        <v>262</v>
      </c>
      <c r="B17" s="10" t="s">
        <v>263</v>
      </c>
      <c r="C17" s="7" t="s">
        <v>249</v>
      </c>
      <c r="D17" s="14" t="s">
        <v>68</v>
      </c>
      <c r="I17" s="4" t="s">
        <v>27</v>
      </c>
      <c r="J17">
        <f>COUNTIF(C92:C97,"Natif")</f>
        <v>1</v>
      </c>
      <c r="K17">
        <f>COUNTIF(C92:C97,"Introduit")</f>
        <v>5</v>
      </c>
      <c r="N17" s="36" t="s">
        <v>516</v>
      </c>
      <c r="O17" s="36" t="s">
        <v>532</v>
      </c>
    </row>
    <row r="18" spans="1:15" x14ac:dyDescent="0.3">
      <c r="A18" s="7" t="s">
        <v>250</v>
      </c>
      <c r="B18" s="10" t="s">
        <v>257</v>
      </c>
      <c r="C18" s="7" t="s">
        <v>249</v>
      </c>
      <c r="D18" s="14" t="s">
        <v>68</v>
      </c>
      <c r="I18" t="s">
        <v>109</v>
      </c>
      <c r="J18">
        <f>COUNTIF(C98:C102,"Natif")</f>
        <v>0</v>
      </c>
      <c r="K18">
        <f>COUNTIF(C98:C102,"Introduit")</f>
        <v>5</v>
      </c>
      <c r="N18" s="36" t="s">
        <v>53</v>
      </c>
      <c r="O18" s="36" t="s">
        <v>533</v>
      </c>
    </row>
    <row r="19" spans="1:15" x14ac:dyDescent="0.3">
      <c r="A19" s="7" t="s">
        <v>260</v>
      </c>
      <c r="B19" s="10" t="s">
        <v>258</v>
      </c>
      <c r="C19" s="7" t="s">
        <v>249</v>
      </c>
      <c r="D19" s="14" t="s">
        <v>68</v>
      </c>
      <c r="I19" s="4" t="s">
        <v>114</v>
      </c>
      <c r="J19">
        <f>COUNTIF(C103:C109,"Natif")</f>
        <v>1</v>
      </c>
      <c r="K19">
        <f>COUNTIF(C103:C109,"Introduit")</f>
        <v>6</v>
      </c>
      <c r="N19" s="36" t="s">
        <v>114</v>
      </c>
      <c r="O19" s="36" t="s">
        <v>534</v>
      </c>
    </row>
    <row r="20" spans="1:15" x14ac:dyDescent="0.3">
      <c r="A20" s="7" t="s">
        <v>251</v>
      </c>
      <c r="B20" s="10" t="s">
        <v>248</v>
      </c>
      <c r="C20" s="7" t="s">
        <v>249</v>
      </c>
      <c r="D20" s="14" t="s">
        <v>68</v>
      </c>
      <c r="I20" t="s">
        <v>119</v>
      </c>
      <c r="J20">
        <f>COUNTIF(C110:C115,"Natif")</f>
        <v>1</v>
      </c>
      <c r="K20">
        <f>COUNTIF(C110:C115,"Introduit")</f>
        <v>5</v>
      </c>
      <c r="N20" s="36" t="s">
        <v>109</v>
      </c>
      <c r="O20" s="36" t="s">
        <v>535</v>
      </c>
    </row>
    <row r="21" spans="1:15" x14ac:dyDescent="0.3">
      <c r="A21" s="7" t="s">
        <v>252</v>
      </c>
      <c r="B21" s="10" t="s">
        <v>256</v>
      </c>
      <c r="C21" s="7" t="s">
        <v>249</v>
      </c>
      <c r="D21" s="14" t="s">
        <v>68</v>
      </c>
      <c r="I21" s="4" t="s">
        <v>124</v>
      </c>
      <c r="J21">
        <f>COUNTIF(C116:C125,"Natif")</f>
        <v>2</v>
      </c>
      <c r="K21">
        <f>COUNTIF(C116:C125,"Introduit")</f>
        <v>8</v>
      </c>
      <c r="N21" s="36" t="s">
        <v>27</v>
      </c>
      <c r="O21" s="36" t="s">
        <v>536</v>
      </c>
    </row>
    <row r="22" spans="1:15" x14ac:dyDescent="0.3">
      <c r="A22" s="7" t="s">
        <v>275</v>
      </c>
      <c r="B22" t="s">
        <v>274</v>
      </c>
      <c r="C22" t="s">
        <v>249</v>
      </c>
      <c r="D22" s="14" t="s">
        <v>68</v>
      </c>
      <c r="I22" t="s">
        <v>128</v>
      </c>
      <c r="J22">
        <f>COUNTIF(C126:C131,"Natif")</f>
        <v>2</v>
      </c>
      <c r="K22">
        <f>COUNTIF(C126:C131,"Introduit")</f>
        <v>4</v>
      </c>
      <c r="N22" s="36" t="s">
        <v>105</v>
      </c>
      <c r="O22" s="36" t="s">
        <v>537</v>
      </c>
    </row>
    <row r="23" spans="1:15" x14ac:dyDescent="0.3">
      <c r="A23" s="7" t="s">
        <v>253</v>
      </c>
      <c r="B23" s="10" t="s">
        <v>255</v>
      </c>
      <c r="C23" s="7" t="s">
        <v>249</v>
      </c>
      <c r="D23" s="10" t="s">
        <v>72</v>
      </c>
      <c r="I23" s="4" t="s">
        <v>132</v>
      </c>
      <c r="J23">
        <f>COUNTIF(C132:C136,"Natif")</f>
        <v>0</v>
      </c>
      <c r="K23">
        <f>COUNTIF(C132:C136,"Introduit")</f>
        <v>5</v>
      </c>
      <c r="N23" s="36" t="s">
        <v>119</v>
      </c>
      <c r="O23" s="36" t="s">
        <v>538</v>
      </c>
    </row>
    <row r="24" spans="1:15" x14ac:dyDescent="0.3">
      <c r="A24" s="7" t="s">
        <v>262</v>
      </c>
      <c r="B24" s="10" t="s">
        <v>263</v>
      </c>
      <c r="C24" s="7" t="s">
        <v>249</v>
      </c>
      <c r="D24" s="10" t="s">
        <v>72</v>
      </c>
      <c r="I24" s="4" t="s">
        <v>138</v>
      </c>
      <c r="J24">
        <f>COUNTIF(C137:C142,"Natif")</f>
        <v>0</v>
      </c>
      <c r="K24">
        <f>COUNTIF(C137:C142,"Introduit")</f>
        <v>6</v>
      </c>
      <c r="N24" s="36" t="s">
        <v>124</v>
      </c>
      <c r="O24" s="36" t="s">
        <v>539</v>
      </c>
    </row>
    <row r="25" spans="1:15" x14ac:dyDescent="0.3">
      <c r="A25" s="7" t="s">
        <v>250</v>
      </c>
      <c r="B25" s="10" t="s">
        <v>257</v>
      </c>
      <c r="C25" s="7" t="s">
        <v>249</v>
      </c>
      <c r="D25" s="10" t="s">
        <v>72</v>
      </c>
      <c r="I25" s="4" t="s">
        <v>141</v>
      </c>
      <c r="J25">
        <f>COUNTIF(C143:C149,"Natif")</f>
        <v>0</v>
      </c>
      <c r="K25">
        <f>COUNTIF(C143:C149,"Introduit")</f>
        <v>7</v>
      </c>
      <c r="N25" s="36" t="s">
        <v>132</v>
      </c>
      <c r="O25" s="36" t="s">
        <v>540</v>
      </c>
    </row>
    <row r="26" spans="1:15" x14ac:dyDescent="0.3">
      <c r="A26" s="7" t="s">
        <v>251</v>
      </c>
      <c r="B26" s="10" t="s">
        <v>248</v>
      </c>
      <c r="C26" s="7" t="s">
        <v>249</v>
      </c>
      <c r="D26" s="10" t="s">
        <v>72</v>
      </c>
      <c r="I26" t="s">
        <v>146</v>
      </c>
      <c r="J26">
        <f>COUNTIF(C150:C156,"Natif")</f>
        <v>0</v>
      </c>
      <c r="K26">
        <f>COUNTIF(C150:C156,"Introduit")</f>
        <v>7</v>
      </c>
      <c r="N26" s="36" t="s">
        <v>141</v>
      </c>
      <c r="O26" s="36" t="s">
        <v>541</v>
      </c>
    </row>
    <row r="27" spans="1:15" x14ac:dyDescent="0.3">
      <c r="A27" s="7" t="s">
        <v>252</v>
      </c>
      <c r="B27" s="10" t="s">
        <v>256</v>
      </c>
      <c r="C27" s="7" t="s">
        <v>249</v>
      </c>
      <c r="D27" s="10" t="s">
        <v>72</v>
      </c>
      <c r="I27" s="4" t="s">
        <v>150</v>
      </c>
      <c r="J27">
        <f>COUNTIF(C157:C162,"Natif")</f>
        <v>0</v>
      </c>
      <c r="K27">
        <f>COUNTIF(C157:C162,"Introduit")</f>
        <v>6</v>
      </c>
      <c r="N27" s="36" t="s">
        <v>146</v>
      </c>
      <c r="O27" s="36" t="s">
        <v>542</v>
      </c>
    </row>
    <row r="28" spans="1:15" x14ac:dyDescent="0.3">
      <c r="A28" s="7" t="s">
        <v>275</v>
      </c>
      <c r="B28" t="s">
        <v>274</v>
      </c>
      <c r="C28" t="s">
        <v>249</v>
      </c>
      <c r="D28" s="10" t="s">
        <v>72</v>
      </c>
      <c r="I28" t="s">
        <v>28</v>
      </c>
      <c r="J28">
        <f>COUNTIF(C163:C169,"Natif")</f>
        <v>0</v>
      </c>
      <c r="K28">
        <f>COUNTIF(C163:C169,"Introduit")</f>
        <v>7</v>
      </c>
      <c r="N28" s="36" t="s">
        <v>76</v>
      </c>
      <c r="O28" s="36" t="s">
        <v>543</v>
      </c>
    </row>
    <row r="29" spans="1:15" x14ac:dyDescent="0.3">
      <c r="A29" s="7" t="s">
        <v>253</v>
      </c>
      <c r="B29" t="s">
        <v>255</v>
      </c>
      <c r="C29" t="s">
        <v>249</v>
      </c>
      <c r="D29" s="14" t="s">
        <v>16</v>
      </c>
      <c r="I29" s="4" t="s">
        <v>154</v>
      </c>
      <c r="J29">
        <f>COUNTIF(C170:C174,"Natif")</f>
        <v>0</v>
      </c>
      <c r="K29">
        <f>COUNTIF(C170:C174,"Introduit")</f>
        <v>5</v>
      </c>
      <c r="N29" s="36" t="s">
        <v>80</v>
      </c>
      <c r="O29" s="36" t="s">
        <v>544</v>
      </c>
    </row>
    <row r="30" spans="1:15" x14ac:dyDescent="0.3">
      <c r="A30" s="7" t="s">
        <v>262</v>
      </c>
      <c r="B30" s="10" t="s">
        <v>263</v>
      </c>
      <c r="C30" s="7" t="s">
        <v>249</v>
      </c>
      <c r="D30" s="14" t="s">
        <v>16</v>
      </c>
      <c r="I30" t="s">
        <v>158</v>
      </c>
      <c r="J30">
        <f>COUNTIF(C175:C179,"Natif")</f>
        <v>0</v>
      </c>
      <c r="K30">
        <f>COUNTIF(C175:C179,"Introduit")</f>
        <v>5</v>
      </c>
      <c r="N30" s="36" t="s">
        <v>84</v>
      </c>
      <c r="O30" s="36" t="s">
        <v>545</v>
      </c>
    </row>
    <row r="31" spans="1:15" x14ac:dyDescent="0.3">
      <c r="A31" s="7" t="s">
        <v>250</v>
      </c>
      <c r="B31" t="s">
        <v>257</v>
      </c>
      <c r="C31" t="s">
        <v>249</v>
      </c>
      <c r="D31" s="14" t="s">
        <v>16</v>
      </c>
      <c r="I31" s="4" t="s">
        <v>163</v>
      </c>
      <c r="J31">
        <f>COUNTIF(C180:C183,"Natif")</f>
        <v>0</v>
      </c>
      <c r="K31">
        <f>COUNTIF(C180:C183,"Introduit")</f>
        <v>4</v>
      </c>
      <c r="N31" s="36" t="s">
        <v>88</v>
      </c>
      <c r="O31" s="36" t="s">
        <v>546</v>
      </c>
    </row>
    <row r="32" spans="1:15" x14ac:dyDescent="0.3">
      <c r="A32" s="7" t="s">
        <v>260</v>
      </c>
      <c r="B32" s="10" t="s">
        <v>258</v>
      </c>
      <c r="C32" s="7" t="s">
        <v>249</v>
      </c>
      <c r="D32" s="14" t="s">
        <v>16</v>
      </c>
      <c r="I32" t="s">
        <v>164</v>
      </c>
      <c r="J32">
        <f>COUNTIF(C184:C189,"Natif")</f>
        <v>1</v>
      </c>
      <c r="K32">
        <f>COUNTIF(C184:C189,"Introduit")</f>
        <v>5</v>
      </c>
      <c r="N32" s="36" t="s">
        <v>16</v>
      </c>
      <c r="O32" s="36" t="s">
        <v>547</v>
      </c>
    </row>
    <row r="33" spans="1:15" x14ac:dyDescent="0.3">
      <c r="A33" s="7" t="s">
        <v>251</v>
      </c>
      <c r="B33" t="s">
        <v>248</v>
      </c>
      <c r="C33" t="s">
        <v>249</v>
      </c>
      <c r="D33" s="14" t="s">
        <v>16</v>
      </c>
      <c r="I33" s="4" t="s">
        <v>165</v>
      </c>
      <c r="J33">
        <f>COUNTIF(C190:C194,"Natif")</f>
        <v>1</v>
      </c>
      <c r="K33">
        <f>COUNTIF(C190:C194,"Introduit")</f>
        <v>4</v>
      </c>
      <c r="N33" s="36" t="s">
        <v>92</v>
      </c>
      <c r="O33" s="36" t="s">
        <v>548</v>
      </c>
    </row>
    <row r="34" spans="1:15" x14ac:dyDescent="0.3">
      <c r="A34" s="7" t="s">
        <v>252</v>
      </c>
      <c r="B34" t="s">
        <v>256</v>
      </c>
      <c r="C34" t="s">
        <v>249</v>
      </c>
      <c r="D34" s="14" t="s">
        <v>16</v>
      </c>
      <c r="I34" t="s">
        <v>36</v>
      </c>
      <c r="J34">
        <f>COUNTIF(C195:C203,"Natif")</f>
        <v>2</v>
      </c>
      <c r="K34">
        <f>COUNTIF(C195:C203,"Introduit")</f>
        <v>7</v>
      </c>
      <c r="N34" s="36" t="s">
        <v>20</v>
      </c>
      <c r="O34" s="36" t="s">
        <v>549</v>
      </c>
    </row>
    <row r="35" spans="1:15" x14ac:dyDescent="0.3">
      <c r="A35" s="7" t="s">
        <v>270</v>
      </c>
      <c r="B35" t="s">
        <v>269</v>
      </c>
      <c r="C35" t="s">
        <v>264</v>
      </c>
      <c r="D35" s="14" t="s">
        <v>16</v>
      </c>
      <c r="I35" s="4" t="s">
        <v>166</v>
      </c>
      <c r="J35">
        <f>COUNTIF(C204:C212,"Natif")</f>
        <v>2</v>
      </c>
      <c r="K35">
        <f>COUNTIF(C204:C212,"Introduit")</f>
        <v>7</v>
      </c>
      <c r="N35" s="36" t="s">
        <v>95</v>
      </c>
      <c r="O35" s="36" t="s">
        <v>550</v>
      </c>
    </row>
    <row r="36" spans="1:15" x14ac:dyDescent="0.3">
      <c r="A36" s="7" t="s">
        <v>253</v>
      </c>
      <c r="B36" s="10" t="s">
        <v>255</v>
      </c>
      <c r="C36" s="7" t="s">
        <v>249</v>
      </c>
      <c r="D36" t="s">
        <v>76</v>
      </c>
      <c r="I36" t="s">
        <v>167</v>
      </c>
      <c r="J36">
        <f>COUNTIF(C213:C220,"Natif")</f>
        <v>2</v>
      </c>
      <c r="K36">
        <f>COUNTIF(C213:C220,"Introduit")</f>
        <v>6</v>
      </c>
      <c r="N36" s="36" t="s">
        <v>101</v>
      </c>
      <c r="O36" s="36" t="s">
        <v>551</v>
      </c>
    </row>
    <row r="37" spans="1:15" x14ac:dyDescent="0.3">
      <c r="A37" s="7" t="s">
        <v>262</v>
      </c>
      <c r="B37" s="10" t="s">
        <v>263</v>
      </c>
      <c r="C37" s="7" t="s">
        <v>249</v>
      </c>
      <c r="D37" t="s">
        <v>76</v>
      </c>
      <c r="I37" s="4" t="s">
        <v>171</v>
      </c>
      <c r="J37">
        <f>COUNTIF(C221:C230,"Natif")</f>
        <v>1</v>
      </c>
      <c r="K37">
        <f>COUNTIF(C221:C230,"Introduit")</f>
        <v>9</v>
      </c>
      <c r="N37" s="36" t="s">
        <v>216</v>
      </c>
      <c r="O37" s="36" t="s">
        <v>552</v>
      </c>
    </row>
    <row r="38" spans="1:15" x14ac:dyDescent="0.3">
      <c r="A38" s="7" t="s">
        <v>250</v>
      </c>
      <c r="B38" t="s">
        <v>257</v>
      </c>
      <c r="C38" t="s">
        <v>249</v>
      </c>
      <c r="D38" t="s">
        <v>76</v>
      </c>
      <c r="I38" t="s">
        <v>186</v>
      </c>
      <c r="J38">
        <f>COUNTIF(C231:C239,"Natif")</f>
        <v>2</v>
      </c>
      <c r="K38">
        <f>COUNTIF(C231:C239,"Introduit")</f>
        <v>7</v>
      </c>
      <c r="N38" s="36" t="s">
        <v>215</v>
      </c>
      <c r="O38" s="36" t="s">
        <v>553</v>
      </c>
    </row>
    <row r="39" spans="1:15" x14ac:dyDescent="0.3">
      <c r="A39" s="7" t="s">
        <v>260</v>
      </c>
      <c r="B39" s="10" t="s">
        <v>258</v>
      </c>
      <c r="C39" s="7" t="s">
        <v>249</v>
      </c>
      <c r="D39" t="s">
        <v>76</v>
      </c>
      <c r="I39" s="4" t="s">
        <v>187</v>
      </c>
      <c r="J39">
        <f>COUNTIF(C240:C247,"Natif")</f>
        <v>1</v>
      </c>
      <c r="K39">
        <f>COUNTIF(C240:C247,"Introduit")</f>
        <v>7</v>
      </c>
      <c r="N39" s="36" t="s">
        <v>43</v>
      </c>
      <c r="O39" s="36" t="s">
        <v>554</v>
      </c>
    </row>
    <row r="40" spans="1:15" x14ac:dyDescent="0.3">
      <c r="A40" s="7" t="s">
        <v>251</v>
      </c>
      <c r="B40" s="10" t="s">
        <v>248</v>
      </c>
      <c r="C40" s="7" t="s">
        <v>249</v>
      </c>
      <c r="D40" t="s">
        <v>76</v>
      </c>
      <c r="I40" t="s">
        <v>195</v>
      </c>
      <c r="J40">
        <f>COUNTIF(C248:C253,"Natif")</f>
        <v>0</v>
      </c>
      <c r="K40">
        <f>COUNTIF(C248:C253,"Introduit")</f>
        <v>6</v>
      </c>
      <c r="N40" s="36" t="s">
        <v>214</v>
      </c>
      <c r="O40" s="36" t="s">
        <v>555</v>
      </c>
    </row>
    <row r="41" spans="1:15" x14ac:dyDescent="0.3">
      <c r="A41" s="7" t="s">
        <v>273</v>
      </c>
      <c r="B41" t="s">
        <v>272</v>
      </c>
      <c r="C41" t="s">
        <v>264</v>
      </c>
      <c r="D41" t="s">
        <v>76</v>
      </c>
      <c r="I41" s="4" t="s">
        <v>199</v>
      </c>
      <c r="J41">
        <f>COUNTIF(C254:C259,"Natif")</f>
        <v>1</v>
      </c>
      <c r="K41">
        <f>COUNTIF(C254:C259,"Introduit")</f>
        <v>5</v>
      </c>
      <c r="N41" s="36" t="s">
        <v>213</v>
      </c>
      <c r="O41" s="36" t="s">
        <v>556</v>
      </c>
    </row>
    <row r="42" spans="1:15" x14ac:dyDescent="0.3">
      <c r="A42" s="7" t="s">
        <v>254</v>
      </c>
      <c r="B42" t="s">
        <v>259</v>
      </c>
      <c r="C42" t="s">
        <v>249</v>
      </c>
      <c r="D42" t="s">
        <v>76</v>
      </c>
      <c r="I42" t="s">
        <v>32</v>
      </c>
      <c r="J42">
        <f>COUNTIF(C260:C262,"Natif")</f>
        <v>0</v>
      </c>
      <c r="K42">
        <f>COUNTIF(C260:C262,"Introduit")</f>
        <v>3</v>
      </c>
      <c r="N42" s="36" t="s">
        <v>212</v>
      </c>
      <c r="O42" s="36" t="s">
        <v>557</v>
      </c>
    </row>
    <row r="43" spans="1:15" x14ac:dyDescent="0.3">
      <c r="A43" s="7" t="s">
        <v>275</v>
      </c>
      <c r="B43" t="s">
        <v>274</v>
      </c>
      <c r="C43" t="s">
        <v>249</v>
      </c>
      <c r="D43" t="s">
        <v>76</v>
      </c>
      <c r="I43" s="4" t="s">
        <v>203</v>
      </c>
      <c r="J43">
        <f>COUNTIF(C263:C270,"Natif")</f>
        <v>1</v>
      </c>
      <c r="K43">
        <f>COUNTIF(C263:C270,"Introduit")</f>
        <v>7</v>
      </c>
      <c r="N43" s="36" t="s">
        <v>72</v>
      </c>
      <c r="O43" s="36" t="s">
        <v>558</v>
      </c>
    </row>
    <row r="44" spans="1:15" x14ac:dyDescent="0.3">
      <c r="A44" s="7" t="s">
        <v>253</v>
      </c>
      <c r="B44" t="s">
        <v>255</v>
      </c>
      <c r="C44" t="s">
        <v>249</v>
      </c>
      <c r="D44" s="4" t="s">
        <v>80</v>
      </c>
      <c r="I44" t="s">
        <v>40</v>
      </c>
      <c r="J44">
        <f>COUNTIF(C271:C279,"Natif")</f>
        <v>1</v>
      </c>
      <c r="K44">
        <f>COUNTIF(C271:C279,"Introduit")</f>
        <v>8</v>
      </c>
      <c r="N44" s="36" t="s">
        <v>68</v>
      </c>
      <c r="O44" s="36" t="s">
        <v>559</v>
      </c>
    </row>
    <row r="45" spans="1:15" x14ac:dyDescent="0.3">
      <c r="A45" s="7" t="s">
        <v>262</v>
      </c>
      <c r="B45" s="10" t="s">
        <v>263</v>
      </c>
      <c r="C45" s="7" t="s">
        <v>249</v>
      </c>
      <c r="D45" s="4" t="s">
        <v>80</v>
      </c>
      <c r="I45" s="4" t="s">
        <v>47</v>
      </c>
      <c r="J45">
        <f>COUNTIF(C280:C285,"Natif")</f>
        <v>0</v>
      </c>
      <c r="K45">
        <f>COUNTIF(C280:C285,"Introduit")</f>
        <v>6</v>
      </c>
      <c r="N45" s="36" t="s">
        <v>0</v>
      </c>
      <c r="O45" s="36" t="s">
        <v>560</v>
      </c>
    </row>
    <row r="46" spans="1:15" ht="14.4" x14ac:dyDescent="0.3">
      <c r="A46" s="7" t="s">
        <v>251</v>
      </c>
      <c r="B46" t="s">
        <v>248</v>
      </c>
      <c r="C46" t="s">
        <v>249</v>
      </c>
      <c r="D46" s="4" t="s">
        <v>80</v>
      </c>
      <c r="I46" t="s">
        <v>212</v>
      </c>
      <c r="J46">
        <f>COUNTIF(C286:C292,"Natif")</f>
        <v>0</v>
      </c>
      <c r="K46">
        <f>COUNTIF(C286:C292,"Introduit")</f>
        <v>7</v>
      </c>
      <c r="N46" t="s">
        <v>517</v>
      </c>
      <c r="O46" t="s">
        <v>561</v>
      </c>
    </row>
    <row r="47" spans="1:15" x14ac:dyDescent="0.3">
      <c r="A47" s="7" t="s">
        <v>252</v>
      </c>
      <c r="B47" t="s">
        <v>256</v>
      </c>
      <c r="C47" t="s">
        <v>249</v>
      </c>
      <c r="D47" s="4" t="s">
        <v>80</v>
      </c>
      <c r="I47" s="4" t="s">
        <v>213</v>
      </c>
      <c r="J47">
        <f>COUNTIF(C293:C298,"Natif")</f>
        <v>0</v>
      </c>
      <c r="K47">
        <f>COUNTIF(C293:C298,"Introduit")</f>
        <v>6</v>
      </c>
      <c r="N47" s="36" t="s">
        <v>138</v>
      </c>
      <c r="O47" t="s">
        <v>562</v>
      </c>
    </row>
    <row r="48" spans="1:15" x14ac:dyDescent="0.3">
      <c r="A48" s="7" t="s">
        <v>275</v>
      </c>
      <c r="B48" t="s">
        <v>274</v>
      </c>
      <c r="C48" t="s">
        <v>249</v>
      </c>
      <c r="D48" s="4" t="s">
        <v>80</v>
      </c>
      <c r="I48" t="s">
        <v>214</v>
      </c>
      <c r="J48">
        <f>COUNTIF(C299:C305,"Natif")</f>
        <v>0</v>
      </c>
      <c r="K48">
        <f>COUNTIF(C299:C305,"Introduit")</f>
        <v>7</v>
      </c>
      <c r="N48" s="36" t="s">
        <v>128</v>
      </c>
      <c r="O48" t="s">
        <v>562</v>
      </c>
    </row>
    <row r="49" spans="1:15" ht="14.4" x14ac:dyDescent="0.3">
      <c r="A49" s="7" t="s">
        <v>253</v>
      </c>
      <c r="B49" s="10" t="s">
        <v>255</v>
      </c>
      <c r="C49" s="7" t="s">
        <v>249</v>
      </c>
      <c r="D49" t="s">
        <v>84</v>
      </c>
      <c r="I49" s="4" t="s">
        <v>43</v>
      </c>
      <c r="J49">
        <f>COUNTIF(C306:C313,"Natif")</f>
        <v>1</v>
      </c>
      <c r="K49">
        <f>COUNTIF(C306:C313,"Introduit")</f>
        <v>7</v>
      </c>
      <c r="N49" t="s">
        <v>154</v>
      </c>
      <c r="O49" t="s">
        <v>563</v>
      </c>
    </row>
    <row r="50" spans="1:15" ht="14.4" x14ac:dyDescent="0.3">
      <c r="A50" s="7" t="s">
        <v>262</v>
      </c>
      <c r="B50" t="s">
        <v>263</v>
      </c>
      <c r="C50" t="s">
        <v>249</v>
      </c>
      <c r="D50" t="s">
        <v>84</v>
      </c>
      <c r="I50" t="s">
        <v>215</v>
      </c>
      <c r="J50">
        <f>COUNTIF(C314:C321,"Natif")</f>
        <v>1</v>
      </c>
      <c r="K50">
        <f>COUNTIF(C314:C321,"Introduit")</f>
        <v>7</v>
      </c>
      <c r="N50" t="s">
        <v>28</v>
      </c>
      <c r="O50" t="s">
        <v>564</v>
      </c>
    </row>
    <row r="51" spans="1:15" ht="14.4" x14ac:dyDescent="0.3">
      <c r="A51" s="7" t="s">
        <v>260</v>
      </c>
      <c r="B51" s="10" t="s">
        <v>258</v>
      </c>
      <c r="C51" s="7" t="s">
        <v>249</v>
      </c>
      <c r="D51" t="s">
        <v>84</v>
      </c>
      <c r="I51" s="4" t="s">
        <v>216</v>
      </c>
      <c r="J51">
        <f>COUNTIF(C322:C328,"Natif")</f>
        <v>0</v>
      </c>
      <c r="K51">
        <f>COUNTIF(C322:C328,"Introduit")</f>
        <v>7</v>
      </c>
      <c r="N51" t="s">
        <v>150</v>
      </c>
      <c r="O51" t="s">
        <v>565</v>
      </c>
    </row>
    <row r="52" spans="1:15" ht="14.4" x14ac:dyDescent="0.3">
      <c r="A52" s="7" t="s">
        <v>251</v>
      </c>
      <c r="B52" s="10" t="s">
        <v>248</v>
      </c>
      <c r="C52" s="7" t="s">
        <v>249</v>
      </c>
      <c r="D52" t="s">
        <v>84</v>
      </c>
      <c r="I52" t="s">
        <v>515</v>
      </c>
      <c r="J52">
        <f>COUNTIF(C329:C336,"Natif")</f>
        <v>0</v>
      </c>
      <c r="K52">
        <f>COUNTIF(C329:C336,"Introduit")</f>
        <v>8</v>
      </c>
      <c r="N52" t="s">
        <v>518</v>
      </c>
      <c r="O52" t="s">
        <v>566</v>
      </c>
    </row>
    <row r="53" spans="1:15" x14ac:dyDescent="0.3">
      <c r="A53" s="7" t="s">
        <v>273</v>
      </c>
      <c r="B53" t="s">
        <v>272</v>
      </c>
      <c r="C53" t="s">
        <v>264</v>
      </c>
      <c r="D53" t="s">
        <v>84</v>
      </c>
      <c r="I53" s="4" t="s">
        <v>516</v>
      </c>
      <c r="J53">
        <f>COUNTIF(C337:C341,"Natif")</f>
        <v>0</v>
      </c>
      <c r="K53">
        <f>COUNTIF(C337:C341,"Introduit")</f>
        <v>5</v>
      </c>
    </row>
    <row r="54" spans="1:15" x14ac:dyDescent="0.3">
      <c r="A54" s="7" t="s">
        <v>275</v>
      </c>
      <c r="B54" s="10" t="s">
        <v>274</v>
      </c>
      <c r="C54" s="7" t="s">
        <v>249</v>
      </c>
      <c r="D54" t="s">
        <v>84</v>
      </c>
    </row>
    <row r="55" spans="1:15" x14ac:dyDescent="0.3">
      <c r="A55" s="7" t="s">
        <v>253</v>
      </c>
      <c r="B55" s="10" t="s">
        <v>255</v>
      </c>
      <c r="C55" t="s">
        <v>249</v>
      </c>
      <c r="D55" s="4" t="s">
        <v>88</v>
      </c>
    </row>
    <row r="56" spans="1:15" x14ac:dyDescent="0.3">
      <c r="A56" s="7" t="s">
        <v>262</v>
      </c>
      <c r="B56" s="10" t="s">
        <v>263</v>
      </c>
      <c r="C56" s="7" t="s">
        <v>249</v>
      </c>
      <c r="D56" s="4" t="s">
        <v>88</v>
      </c>
    </row>
    <row r="57" spans="1:15" x14ac:dyDescent="0.3">
      <c r="A57" s="7" t="s">
        <v>250</v>
      </c>
      <c r="B57" t="s">
        <v>257</v>
      </c>
      <c r="C57" t="s">
        <v>249</v>
      </c>
      <c r="D57" s="4" t="s">
        <v>88</v>
      </c>
    </row>
    <row r="58" spans="1:15" x14ac:dyDescent="0.3">
      <c r="A58" s="7" t="s">
        <v>251</v>
      </c>
      <c r="B58" t="s">
        <v>248</v>
      </c>
      <c r="C58" t="s">
        <v>249</v>
      </c>
      <c r="D58" s="4" t="s">
        <v>88</v>
      </c>
    </row>
    <row r="59" spans="1:15" x14ac:dyDescent="0.3">
      <c r="A59" s="7" t="s">
        <v>275</v>
      </c>
      <c r="B59" t="s">
        <v>274</v>
      </c>
      <c r="C59" t="s">
        <v>249</v>
      </c>
      <c r="D59" s="4" t="s">
        <v>88</v>
      </c>
    </row>
    <row r="60" spans="1:15" x14ac:dyDescent="0.3">
      <c r="A60" s="7" t="s">
        <v>253</v>
      </c>
      <c r="B60" t="s">
        <v>255</v>
      </c>
      <c r="C60" t="s">
        <v>249</v>
      </c>
      <c r="D60" t="s">
        <v>92</v>
      </c>
    </row>
    <row r="61" spans="1:15" x14ac:dyDescent="0.3">
      <c r="A61" s="7" t="s">
        <v>262</v>
      </c>
      <c r="B61" t="s">
        <v>263</v>
      </c>
      <c r="C61" t="s">
        <v>249</v>
      </c>
      <c r="D61" t="s">
        <v>92</v>
      </c>
    </row>
    <row r="62" spans="1:15" x14ac:dyDescent="0.3">
      <c r="A62" s="7" t="s">
        <v>250</v>
      </c>
      <c r="B62" t="s">
        <v>257</v>
      </c>
      <c r="C62" t="s">
        <v>249</v>
      </c>
      <c r="D62" t="s">
        <v>92</v>
      </c>
    </row>
    <row r="63" spans="1:15" x14ac:dyDescent="0.3">
      <c r="A63" s="7" t="s">
        <v>251</v>
      </c>
      <c r="B63" t="s">
        <v>248</v>
      </c>
      <c r="C63" t="s">
        <v>249</v>
      </c>
      <c r="D63" t="s">
        <v>92</v>
      </c>
    </row>
    <row r="64" spans="1:15" x14ac:dyDescent="0.3">
      <c r="A64" s="7" t="s">
        <v>252</v>
      </c>
      <c r="B64" t="s">
        <v>256</v>
      </c>
      <c r="C64" t="s">
        <v>249</v>
      </c>
      <c r="D64" t="s">
        <v>92</v>
      </c>
    </row>
    <row r="65" spans="1:4" x14ac:dyDescent="0.3">
      <c r="A65" s="7" t="s">
        <v>289</v>
      </c>
      <c r="B65" t="s">
        <v>290</v>
      </c>
      <c r="C65" t="s">
        <v>249</v>
      </c>
      <c r="D65" t="s">
        <v>92</v>
      </c>
    </row>
    <row r="66" spans="1:4" x14ac:dyDescent="0.3">
      <c r="A66" s="7" t="s">
        <v>275</v>
      </c>
      <c r="B66" t="s">
        <v>274</v>
      </c>
      <c r="C66" t="s">
        <v>249</v>
      </c>
      <c r="D66" t="s">
        <v>92</v>
      </c>
    </row>
    <row r="67" spans="1:4" x14ac:dyDescent="0.3">
      <c r="A67" s="7" t="s">
        <v>253</v>
      </c>
      <c r="B67" t="s">
        <v>255</v>
      </c>
      <c r="C67" s="7" t="s">
        <v>249</v>
      </c>
      <c r="D67" s="4" t="s">
        <v>20</v>
      </c>
    </row>
    <row r="68" spans="1:4" x14ac:dyDescent="0.3">
      <c r="A68" s="7" t="s">
        <v>262</v>
      </c>
      <c r="B68" t="s">
        <v>263</v>
      </c>
      <c r="C68" t="s">
        <v>249</v>
      </c>
      <c r="D68" s="4" t="s">
        <v>20</v>
      </c>
    </row>
    <row r="69" spans="1:4" x14ac:dyDescent="0.3">
      <c r="A69" s="7" t="s">
        <v>250</v>
      </c>
      <c r="B69" t="s">
        <v>257</v>
      </c>
      <c r="C69" t="s">
        <v>249</v>
      </c>
      <c r="D69" s="4" t="s">
        <v>20</v>
      </c>
    </row>
    <row r="70" spans="1:4" x14ac:dyDescent="0.3">
      <c r="A70" s="7" t="s">
        <v>260</v>
      </c>
      <c r="B70" t="s">
        <v>258</v>
      </c>
      <c r="C70" t="s">
        <v>249</v>
      </c>
      <c r="D70" s="4" t="s">
        <v>20</v>
      </c>
    </row>
    <row r="71" spans="1:4" x14ac:dyDescent="0.3">
      <c r="A71" s="7" t="s">
        <v>251</v>
      </c>
      <c r="B71" t="s">
        <v>248</v>
      </c>
      <c r="C71" t="s">
        <v>249</v>
      </c>
      <c r="D71" s="4" t="s">
        <v>20</v>
      </c>
    </row>
    <row r="72" spans="1:4" x14ac:dyDescent="0.3">
      <c r="A72" s="7" t="s">
        <v>252</v>
      </c>
      <c r="B72" t="s">
        <v>256</v>
      </c>
      <c r="C72" t="s">
        <v>249</v>
      </c>
      <c r="D72" s="4" t="s">
        <v>20</v>
      </c>
    </row>
    <row r="73" spans="1:4" x14ac:dyDescent="0.3">
      <c r="A73" s="7" t="s">
        <v>273</v>
      </c>
      <c r="B73" t="s">
        <v>272</v>
      </c>
      <c r="C73" s="7" t="s">
        <v>264</v>
      </c>
      <c r="D73" s="4" t="s">
        <v>20</v>
      </c>
    </row>
    <row r="74" spans="1:4" x14ac:dyDescent="0.3">
      <c r="A74" s="7" t="s">
        <v>270</v>
      </c>
      <c r="B74" t="s">
        <v>269</v>
      </c>
      <c r="C74" s="7" t="s">
        <v>264</v>
      </c>
      <c r="D74" s="4" t="s">
        <v>20</v>
      </c>
    </row>
    <row r="75" spans="1:4" x14ac:dyDescent="0.3">
      <c r="A75" s="7" t="s">
        <v>275</v>
      </c>
      <c r="B75" s="10" t="s">
        <v>274</v>
      </c>
      <c r="C75" s="7" t="s">
        <v>249</v>
      </c>
      <c r="D75" s="4" t="s">
        <v>20</v>
      </c>
    </row>
    <row r="76" spans="1:4" x14ac:dyDescent="0.3">
      <c r="A76" s="7" t="s">
        <v>253</v>
      </c>
      <c r="B76" t="s">
        <v>255</v>
      </c>
      <c r="C76" s="7" t="s">
        <v>249</v>
      </c>
      <c r="D76" t="s">
        <v>95</v>
      </c>
    </row>
    <row r="77" spans="1:4" x14ac:dyDescent="0.3">
      <c r="A77" s="7" t="s">
        <v>250</v>
      </c>
      <c r="B77" t="s">
        <v>257</v>
      </c>
      <c r="C77" s="7" t="s">
        <v>249</v>
      </c>
      <c r="D77" t="s">
        <v>95</v>
      </c>
    </row>
    <row r="78" spans="1:4" x14ac:dyDescent="0.3">
      <c r="A78" s="7" t="s">
        <v>251</v>
      </c>
      <c r="B78" t="s">
        <v>248</v>
      </c>
      <c r="C78" s="7" t="s">
        <v>249</v>
      </c>
      <c r="D78" t="s">
        <v>95</v>
      </c>
    </row>
    <row r="79" spans="1:4" x14ac:dyDescent="0.3">
      <c r="A79" s="7" t="s">
        <v>275</v>
      </c>
      <c r="B79" t="s">
        <v>274</v>
      </c>
      <c r="C79" s="7" t="s">
        <v>249</v>
      </c>
      <c r="D79" t="s">
        <v>95</v>
      </c>
    </row>
    <row r="80" spans="1:4" x14ac:dyDescent="0.3">
      <c r="A80" s="7" t="s">
        <v>253</v>
      </c>
      <c r="B80" t="s">
        <v>255</v>
      </c>
      <c r="C80" s="7" t="s">
        <v>249</v>
      </c>
      <c r="D80" s="4" t="s">
        <v>101</v>
      </c>
    </row>
    <row r="81" spans="1:4" x14ac:dyDescent="0.3">
      <c r="A81" s="7" t="s">
        <v>262</v>
      </c>
      <c r="B81" t="s">
        <v>263</v>
      </c>
      <c r="C81" t="s">
        <v>249</v>
      </c>
      <c r="D81" s="4" t="s">
        <v>101</v>
      </c>
    </row>
    <row r="82" spans="1:4" x14ac:dyDescent="0.3">
      <c r="A82" s="7" t="s">
        <v>250</v>
      </c>
      <c r="B82" t="s">
        <v>257</v>
      </c>
      <c r="C82" s="7" t="s">
        <v>249</v>
      </c>
      <c r="D82" s="4" t="s">
        <v>101</v>
      </c>
    </row>
    <row r="83" spans="1:4" x14ac:dyDescent="0.3">
      <c r="A83" s="7" t="s">
        <v>252</v>
      </c>
      <c r="B83" t="s">
        <v>256</v>
      </c>
      <c r="C83" t="s">
        <v>249</v>
      </c>
      <c r="D83" s="4" t="s">
        <v>101</v>
      </c>
    </row>
    <row r="84" spans="1:4" x14ac:dyDescent="0.3">
      <c r="A84" s="7" t="s">
        <v>254</v>
      </c>
      <c r="B84" t="s">
        <v>259</v>
      </c>
      <c r="C84" t="s">
        <v>249</v>
      </c>
      <c r="D84" s="4" t="s">
        <v>101</v>
      </c>
    </row>
    <row r="85" spans="1:4" x14ac:dyDescent="0.3">
      <c r="A85" s="7" t="s">
        <v>275</v>
      </c>
      <c r="B85" t="s">
        <v>274</v>
      </c>
      <c r="C85" t="s">
        <v>249</v>
      </c>
      <c r="D85" s="4" t="s">
        <v>101</v>
      </c>
    </row>
    <row r="86" spans="1:4" x14ac:dyDescent="0.3">
      <c r="A86" s="7" t="s">
        <v>253</v>
      </c>
      <c r="B86" t="s">
        <v>255</v>
      </c>
      <c r="C86" s="7" t="s">
        <v>249</v>
      </c>
      <c r="D86" t="s">
        <v>105</v>
      </c>
    </row>
    <row r="87" spans="1:4" x14ac:dyDescent="0.3">
      <c r="A87" s="7" t="s">
        <v>262</v>
      </c>
      <c r="B87" t="s">
        <v>263</v>
      </c>
      <c r="C87" s="7" t="s">
        <v>249</v>
      </c>
      <c r="D87" t="s">
        <v>105</v>
      </c>
    </row>
    <row r="88" spans="1:4" x14ac:dyDescent="0.3">
      <c r="A88" s="7" t="s">
        <v>250</v>
      </c>
      <c r="B88" t="s">
        <v>257</v>
      </c>
      <c r="C88" s="7" t="s">
        <v>249</v>
      </c>
      <c r="D88" t="s">
        <v>105</v>
      </c>
    </row>
    <row r="89" spans="1:4" x14ac:dyDescent="0.3">
      <c r="A89" s="7" t="s">
        <v>260</v>
      </c>
      <c r="B89" t="s">
        <v>258</v>
      </c>
      <c r="C89" t="s">
        <v>249</v>
      </c>
      <c r="D89" t="s">
        <v>105</v>
      </c>
    </row>
    <row r="90" spans="1:4" x14ac:dyDescent="0.3">
      <c r="A90" s="7" t="s">
        <v>270</v>
      </c>
      <c r="B90" t="s">
        <v>269</v>
      </c>
      <c r="C90" t="s">
        <v>264</v>
      </c>
      <c r="D90" t="s">
        <v>105</v>
      </c>
    </row>
    <row r="91" spans="1:4" x14ac:dyDescent="0.3">
      <c r="A91" s="7" t="s">
        <v>275</v>
      </c>
      <c r="B91" t="s">
        <v>274</v>
      </c>
      <c r="C91" t="s">
        <v>249</v>
      </c>
      <c r="D91" t="s">
        <v>105</v>
      </c>
    </row>
    <row r="92" spans="1:4" x14ac:dyDescent="0.3">
      <c r="A92" s="7" t="s">
        <v>253</v>
      </c>
      <c r="B92" t="s">
        <v>255</v>
      </c>
      <c r="C92" s="7" t="s">
        <v>249</v>
      </c>
      <c r="D92" s="4" t="s">
        <v>27</v>
      </c>
    </row>
    <row r="93" spans="1:4" x14ac:dyDescent="0.3">
      <c r="A93" s="7" t="s">
        <v>262</v>
      </c>
      <c r="B93" t="s">
        <v>263</v>
      </c>
      <c r="C93" s="7" t="s">
        <v>249</v>
      </c>
      <c r="D93" s="4" t="s">
        <v>27</v>
      </c>
    </row>
    <row r="94" spans="1:4" x14ac:dyDescent="0.3">
      <c r="A94" s="7" t="s">
        <v>250</v>
      </c>
      <c r="B94" t="s">
        <v>257</v>
      </c>
      <c r="C94" s="7" t="s">
        <v>249</v>
      </c>
      <c r="D94" s="4" t="s">
        <v>27</v>
      </c>
    </row>
    <row r="95" spans="1:4" x14ac:dyDescent="0.3">
      <c r="A95" s="7" t="s">
        <v>254</v>
      </c>
      <c r="B95" t="s">
        <v>259</v>
      </c>
      <c r="C95" t="s">
        <v>249</v>
      </c>
      <c r="D95" s="4" t="s">
        <v>27</v>
      </c>
    </row>
    <row r="96" spans="1:4" x14ac:dyDescent="0.3">
      <c r="A96" s="7" t="s">
        <v>270</v>
      </c>
      <c r="B96" t="s">
        <v>269</v>
      </c>
      <c r="C96" s="7" t="s">
        <v>264</v>
      </c>
      <c r="D96" s="4" t="s">
        <v>27</v>
      </c>
    </row>
    <row r="97" spans="1:4" x14ac:dyDescent="0.3">
      <c r="A97" s="7" t="s">
        <v>275</v>
      </c>
      <c r="B97" t="s">
        <v>274</v>
      </c>
      <c r="C97" t="s">
        <v>249</v>
      </c>
      <c r="D97" s="4" t="s">
        <v>27</v>
      </c>
    </row>
    <row r="98" spans="1:4" x14ac:dyDescent="0.3">
      <c r="A98" s="7" t="s">
        <v>253</v>
      </c>
      <c r="B98" t="s">
        <v>255</v>
      </c>
      <c r="C98" s="7" t="s">
        <v>249</v>
      </c>
      <c r="D98" t="s">
        <v>109</v>
      </c>
    </row>
    <row r="99" spans="1:4" x14ac:dyDescent="0.3">
      <c r="A99" s="7" t="s">
        <v>262</v>
      </c>
      <c r="B99" t="s">
        <v>263</v>
      </c>
      <c r="C99" s="7" t="s">
        <v>249</v>
      </c>
      <c r="D99" t="s">
        <v>109</v>
      </c>
    </row>
    <row r="100" spans="1:4" x14ac:dyDescent="0.3">
      <c r="A100" s="7" t="s">
        <v>250</v>
      </c>
      <c r="B100" t="s">
        <v>257</v>
      </c>
      <c r="C100" s="7" t="s">
        <v>249</v>
      </c>
      <c r="D100" t="s">
        <v>109</v>
      </c>
    </row>
    <row r="101" spans="1:4" x14ac:dyDescent="0.3">
      <c r="A101" s="7" t="s">
        <v>251</v>
      </c>
      <c r="B101" t="s">
        <v>248</v>
      </c>
      <c r="C101" s="7" t="s">
        <v>249</v>
      </c>
      <c r="D101" t="s">
        <v>109</v>
      </c>
    </row>
    <row r="102" spans="1:4" x14ac:dyDescent="0.3">
      <c r="A102" s="7" t="s">
        <v>275</v>
      </c>
      <c r="B102" t="s">
        <v>274</v>
      </c>
      <c r="C102" t="s">
        <v>249</v>
      </c>
      <c r="D102" t="s">
        <v>109</v>
      </c>
    </row>
    <row r="103" spans="1:4" x14ac:dyDescent="0.3">
      <c r="A103" s="7" t="s">
        <v>253</v>
      </c>
      <c r="B103" t="s">
        <v>255</v>
      </c>
      <c r="C103" s="19" t="s">
        <v>249</v>
      </c>
      <c r="D103" s="4" t="s">
        <v>114</v>
      </c>
    </row>
    <row r="104" spans="1:4" x14ac:dyDescent="0.3">
      <c r="A104" s="7" t="s">
        <v>262</v>
      </c>
      <c r="B104" t="s">
        <v>263</v>
      </c>
      <c r="C104" t="s">
        <v>249</v>
      </c>
      <c r="D104" s="4" t="s">
        <v>114</v>
      </c>
    </row>
    <row r="105" spans="1:4" x14ac:dyDescent="0.3">
      <c r="A105" s="7" t="s">
        <v>250</v>
      </c>
      <c r="B105" t="s">
        <v>257</v>
      </c>
      <c r="C105" t="s">
        <v>249</v>
      </c>
      <c r="D105" s="4" t="s">
        <v>114</v>
      </c>
    </row>
    <row r="106" spans="1:4" x14ac:dyDescent="0.3">
      <c r="A106" s="7" t="s">
        <v>260</v>
      </c>
      <c r="B106" t="s">
        <v>258</v>
      </c>
      <c r="C106" t="s">
        <v>249</v>
      </c>
      <c r="D106" s="4" t="s">
        <v>114</v>
      </c>
    </row>
    <row r="107" spans="1:4" x14ac:dyDescent="0.3">
      <c r="A107" s="7" t="s">
        <v>251</v>
      </c>
      <c r="B107" t="s">
        <v>248</v>
      </c>
      <c r="C107" t="s">
        <v>249</v>
      </c>
      <c r="D107" s="4" t="s">
        <v>114</v>
      </c>
    </row>
    <row r="108" spans="1:4" x14ac:dyDescent="0.3">
      <c r="A108" s="7" t="s">
        <v>270</v>
      </c>
      <c r="B108" t="s">
        <v>269</v>
      </c>
      <c r="C108" s="7" t="s">
        <v>264</v>
      </c>
      <c r="D108" s="4" t="s">
        <v>114</v>
      </c>
    </row>
    <row r="109" spans="1:4" x14ac:dyDescent="0.3">
      <c r="A109" s="7" t="s">
        <v>275</v>
      </c>
      <c r="B109" t="s">
        <v>274</v>
      </c>
      <c r="C109" s="7" t="s">
        <v>249</v>
      </c>
      <c r="D109" s="4" t="s">
        <v>114</v>
      </c>
    </row>
    <row r="110" spans="1:4" x14ac:dyDescent="0.3">
      <c r="A110" s="7" t="s">
        <v>253</v>
      </c>
      <c r="B110" t="s">
        <v>255</v>
      </c>
      <c r="C110" t="s">
        <v>249</v>
      </c>
      <c r="D110" t="s">
        <v>119</v>
      </c>
    </row>
    <row r="111" spans="1:4" x14ac:dyDescent="0.3">
      <c r="A111" s="7" t="s">
        <v>250</v>
      </c>
      <c r="B111" t="s">
        <v>257</v>
      </c>
      <c r="C111" s="7" t="s">
        <v>249</v>
      </c>
      <c r="D111" t="s">
        <v>119</v>
      </c>
    </row>
    <row r="112" spans="1:4" x14ac:dyDescent="0.3">
      <c r="A112" s="7" t="s">
        <v>251</v>
      </c>
      <c r="B112" t="s">
        <v>248</v>
      </c>
      <c r="C112" s="7" t="s">
        <v>249</v>
      </c>
      <c r="D112" t="s">
        <v>119</v>
      </c>
    </row>
    <row r="113" spans="1:4" x14ac:dyDescent="0.3">
      <c r="A113" s="7" t="s">
        <v>252</v>
      </c>
      <c r="B113" t="s">
        <v>256</v>
      </c>
      <c r="C113" t="s">
        <v>249</v>
      </c>
      <c r="D113" t="s">
        <v>119</v>
      </c>
    </row>
    <row r="114" spans="1:4" x14ac:dyDescent="0.3">
      <c r="A114" s="7" t="s">
        <v>270</v>
      </c>
      <c r="B114" t="s">
        <v>269</v>
      </c>
      <c r="C114" s="7" t="s">
        <v>264</v>
      </c>
      <c r="D114" t="s">
        <v>119</v>
      </c>
    </row>
    <row r="115" spans="1:4" x14ac:dyDescent="0.3">
      <c r="A115" s="7" t="s">
        <v>275</v>
      </c>
      <c r="B115" t="s">
        <v>274</v>
      </c>
      <c r="C115" s="7" t="s">
        <v>249</v>
      </c>
      <c r="D115" t="s">
        <v>119</v>
      </c>
    </row>
    <row r="116" spans="1:4" x14ac:dyDescent="0.3">
      <c r="A116" s="7" t="s">
        <v>253</v>
      </c>
      <c r="B116" t="s">
        <v>255</v>
      </c>
      <c r="C116" s="7" t="s">
        <v>249</v>
      </c>
      <c r="D116" s="4" t="s">
        <v>124</v>
      </c>
    </row>
    <row r="117" spans="1:4" x14ac:dyDescent="0.3">
      <c r="A117" s="7" t="s">
        <v>262</v>
      </c>
      <c r="B117" t="s">
        <v>263</v>
      </c>
      <c r="C117" s="7" t="s">
        <v>249</v>
      </c>
      <c r="D117" s="4" t="s">
        <v>124</v>
      </c>
    </row>
    <row r="118" spans="1:4" x14ac:dyDescent="0.3">
      <c r="A118" s="7" t="s">
        <v>250</v>
      </c>
      <c r="B118" t="s">
        <v>257</v>
      </c>
      <c r="C118" s="7" t="s">
        <v>249</v>
      </c>
      <c r="D118" s="4" t="s">
        <v>124</v>
      </c>
    </row>
    <row r="119" spans="1:4" x14ac:dyDescent="0.3">
      <c r="A119" s="7" t="s">
        <v>299</v>
      </c>
      <c r="B119" t="s">
        <v>300</v>
      </c>
      <c r="C119" t="s">
        <v>264</v>
      </c>
      <c r="D119" s="4" t="s">
        <v>124</v>
      </c>
    </row>
    <row r="120" spans="1:4" x14ac:dyDescent="0.3">
      <c r="A120" s="7" t="s">
        <v>260</v>
      </c>
      <c r="B120" t="s">
        <v>258</v>
      </c>
      <c r="C120" t="s">
        <v>249</v>
      </c>
      <c r="D120" s="4" t="s">
        <v>124</v>
      </c>
    </row>
    <row r="121" spans="1:4" x14ac:dyDescent="0.3">
      <c r="A121" s="7" t="s">
        <v>251</v>
      </c>
      <c r="B121" t="s">
        <v>248</v>
      </c>
      <c r="C121" s="7" t="s">
        <v>249</v>
      </c>
      <c r="D121" s="4" t="s">
        <v>124</v>
      </c>
    </row>
    <row r="122" spans="1:4" x14ac:dyDescent="0.3">
      <c r="A122" s="7" t="s">
        <v>252</v>
      </c>
      <c r="B122" t="s">
        <v>256</v>
      </c>
      <c r="C122" s="7" t="s">
        <v>249</v>
      </c>
      <c r="D122" s="4" t="s">
        <v>124</v>
      </c>
    </row>
    <row r="123" spans="1:4" x14ac:dyDescent="0.3">
      <c r="A123" s="7" t="s">
        <v>254</v>
      </c>
      <c r="B123" t="s">
        <v>259</v>
      </c>
      <c r="C123" t="s">
        <v>249</v>
      </c>
      <c r="D123" s="4" t="s">
        <v>124</v>
      </c>
    </row>
    <row r="124" spans="1:4" x14ac:dyDescent="0.3">
      <c r="A124" s="7" t="s">
        <v>270</v>
      </c>
      <c r="B124" t="s">
        <v>269</v>
      </c>
      <c r="C124" t="s">
        <v>264</v>
      </c>
      <c r="D124" s="4" t="s">
        <v>124</v>
      </c>
    </row>
    <row r="125" spans="1:4" x14ac:dyDescent="0.3">
      <c r="A125" s="7" t="s">
        <v>275</v>
      </c>
      <c r="B125" t="s">
        <v>274</v>
      </c>
      <c r="C125" s="7" t="s">
        <v>249</v>
      </c>
      <c r="D125" s="4" t="s">
        <v>124</v>
      </c>
    </row>
    <row r="126" spans="1:4" x14ac:dyDescent="0.3">
      <c r="A126" s="7" t="s">
        <v>253</v>
      </c>
      <c r="B126" t="s">
        <v>255</v>
      </c>
      <c r="C126" s="7" t="s">
        <v>249</v>
      </c>
      <c r="D126" t="s">
        <v>128</v>
      </c>
    </row>
    <row r="127" spans="1:4" x14ac:dyDescent="0.3">
      <c r="A127" s="7" t="s">
        <v>250</v>
      </c>
      <c r="B127" t="s">
        <v>257</v>
      </c>
      <c r="C127" s="7" t="s">
        <v>249</v>
      </c>
      <c r="D127" t="s">
        <v>128</v>
      </c>
    </row>
    <row r="128" spans="1:4" x14ac:dyDescent="0.3">
      <c r="A128" s="7" t="s">
        <v>251</v>
      </c>
      <c r="B128" t="s">
        <v>248</v>
      </c>
      <c r="C128" s="7" t="s">
        <v>249</v>
      </c>
      <c r="D128" t="s">
        <v>128</v>
      </c>
    </row>
    <row r="129" spans="1:4" x14ac:dyDescent="0.3">
      <c r="A129" s="7" t="s">
        <v>273</v>
      </c>
      <c r="B129" t="s">
        <v>272</v>
      </c>
      <c r="C129" t="s">
        <v>264</v>
      </c>
      <c r="D129" t="s">
        <v>128</v>
      </c>
    </row>
    <row r="130" spans="1:4" x14ac:dyDescent="0.3">
      <c r="A130" s="7" t="s">
        <v>270</v>
      </c>
      <c r="B130" t="s">
        <v>269</v>
      </c>
      <c r="C130" s="7" t="s">
        <v>264</v>
      </c>
      <c r="D130" t="s">
        <v>128</v>
      </c>
    </row>
    <row r="131" spans="1:4" x14ac:dyDescent="0.3">
      <c r="A131" s="7" t="s">
        <v>275</v>
      </c>
      <c r="B131" t="s">
        <v>274</v>
      </c>
      <c r="C131" s="7" t="s">
        <v>249</v>
      </c>
      <c r="D131" t="s">
        <v>128</v>
      </c>
    </row>
    <row r="132" spans="1:4" x14ac:dyDescent="0.3">
      <c r="A132" s="7" t="s">
        <v>253</v>
      </c>
      <c r="B132" t="s">
        <v>255</v>
      </c>
      <c r="C132" s="7" t="s">
        <v>249</v>
      </c>
      <c r="D132" s="4" t="s">
        <v>132</v>
      </c>
    </row>
    <row r="133" spans="1:4" x14ac:dyDescent="0.3">
      <c r="A133" s="7" t="s">
        <v>262</v>
      </c>
      <c r="B133" t="s">
        <v>263</v>
      </c>
      <c r="C133" t="s">
        <v>249</v>
      </c>
      <c r="D133" s="4" t="s">
        <v>132</v>
      </c>
    </row>
    <row r="134" spans="1:4" x14ac:dyDescent="0.3">
      <c r="A134" s="7" t="s">
        <v>250</v>
      </c>
      <c r="B134" t="s">
        <v>257</v>
      </c>
      <c r="C134" s="7" t="s">
        <v>249</v>
      </c>
      <c r="D134" s="4" t="s">
        <v>132</v>
      </c>
    </row>
    <row r="135" spans="1:4" x14ac:dyDescent="0.3">
      <c r="A135" s="7" t="s">
        <v>251</v>
      </c>
      <c r="B135" t="s">
        <v>248</v>
      </c>
      <c r="C135" s="7" t="s">
        <v>249</v>
      </c>
      <c r="D135" s="4" t="s">
        <v>132</v>
      </c>
    </row>
    <row r="136" spans="1:4" x14ac:dyDescent="0.3">
      <c r="A136" s="7" t="s">
        <v>275</v>
      </c>
      <c r="B136" t="s">
        <v>274</v>
      </c>
      <c r="C136" s="7" t="s">
        <v>249</v>
      </c>
      <c r="D136" s="4" t="s">
        <v>132</v>
      </c>
    </row>
    <row r="137" spans="1:4" x14ac:dyDescent="0.3">
      <c r="A137" s="7" t="s">
        <v>253</v>
      </c>
      <c r="B137" t="s">
        <v>255</v>
      </c>
      <c r="C137" s="7" t="s">
        <v>249</v>
      </c>
      <c r="D137" t="s">
        <v>138</v>
      </c>
    </row>
    <row r="138" spans="1:4" x14ac:dyDescent="0.3">
      <c r="A138" s="7" t="s">
        <v>262</v>
      </c>
      <c r="B138" t="s">
        <v>263</v>
      </c>
      <c r="C138" s="7" t="s">
        <v>249</v>
      </c>
      <c r="D138" t="s">
        <v>138</v>
      </c>
    </row>
    <row r="139" spans="1:4" x14ac:dyDescent="0.3">
      <c r="A139" s="7" t="s">
        <v>250</v>
      </c>
      <c r="B139" t="s">
        <v>257</v>
      </c>
      <c r="C139" s="7" t="s">
        <v>249</v>
      </c>
      <c r="D139" t="s">
        <v>138</v>
      </c>
    </row>
    <row r="140" spans="1:4" x14ac:dyDescent="0.3">
      <c r="A140" s="7" t="s">
        <v>260</v>
      </c>
      <c r="B140" t="s">
        <v>258</v>
      </c>
      <c r="C140" t="s">
        <v>249</v>
      </c>
      <c r="D140" t="s">
        <v>138</v>
      </c>
    </row>
    <row r="141" spans="1:4" x14ac:dyDescent="0.3">
      <c r="A141" s="7" t="s">
        <v>251</v>
      </c>
      <c r="B141" t="s">
        <v>248</v>
      </c>
      <c r="C141" s="7" t="s">
        <v>249</v>
      </c>
      <c r="D141" t="s">
        <v>138</v>
      </c>
    </row>
    <row r="142" spans="1:4" x14ac:dyDescent="0.3">
      <c r="A142" s="7" t="s">
        <v>275</v>
      </c>
      <c r="B142" t="s">
        <v>274</v>
      </c>
      <c r="C142" s="7" t="s">
        <v>249</v>
      </c>
      <c r="D142" t="s">
        <v>138</v>
      </c>
    </row>
    <row r="143" spans="1:4" x14ac:dyDescent="0.3">
      <c r="A143" s="7" t="s">
        <v>253</v>
      </c>
      <c r="B143" t="s">
        <v>255</v>
      </c>
      <c r="C143" s="7" t="s">
        <v>249</v>
      </c>
      <c r="D143" s="4" t="s">
        <v>141</v>
      </c>
    </row>
    <row r="144" spans="1:4" x14ac:dyDescent="0.3">
      <c r="A144" s="7" t="s">
        <v>262</v>
      </c>
      <c r="B144" t="s">
        <v>263</v>
      </c>
      <c r="C144" s="7" t="s">
        <v>249</v>
      </c>
      <c r="D144" s="4" t="s">
        <v>141</v>
      </c>
    </row>
    <row r="145" spans="1:4" x14ac:dyDescent="0.3">
      <c r="A145" s="7" t="s">
        <v>250</v>
      </c>
      <c r="B145" t="s">
        <v>257</v>
      </c>
      <c r="C145" s="7" t="s">
        <v>249</v>
      </c>
      <c r="D145" s="4" t="s">
        <v>141</v>
      </c>
    </row>
    <row r="146" spans="1:4" x14ac:dyDescent="0.3">
      <c r="A146" s="7" t="s">
        <v>260</v>
      </c>
      <c r="B146" t="s">
        <v>258</v>
      </c>
      <c r="C146" t="s">
        <v>249</v>
      </c>
      <c r="D146" s="4" t="s">
        <v>141</v>
      </c>
    </row>
    <row r="147" spans="1:4" x14ac:dyDescent="0.3">
      <c r="A147" s="7" t="s">
        <v>251</v>
      </c>
      <c r="B147" t="s">
        <v>248</v>
      </c>
      <c r="C147" s="7" t="s">
        <v>249</v>
      </c>
      <c r="D147" s="4" t="s">
        <v>141</v>
      </c>
    </row>
    <row r="148" spans="1:4" x14ac:dyDescent="0.3">
      <c r="A148" s="7" t="s">
        <v>252</v>
      </c>
      <c r="B148" t="s">
        <v>256</v>
      </c>
      <c r="C148" s="7" t="s">
        <v>249</v>
      </c>
      <c r="D148" s="4" t="s">
        <v>141</v>
      </c>
    </row>
    <row r="149" spans="1:4" x14ac:dyDescent="0.3">
      <c r="A149" s="7" t="s">
        <v>275</v>
      </c>
      <c r="B149" t="s">
        <v>274</v>
      </c>
      <c r="C149" s="7" t="s">
        <v>249</v>
      </c>
      <c r="D149" s="4" t="s">
        <v>141</v>
      </c>
    </row>
    <row r="150" spans="1:4" x14ac:dyDescent="0.3">
      <c r="A150" s="7" t="s">
        <v>253</v>
      </c>
      <c r="B150" t="s">
        <v>255</v>
      </c>
      <c r="C150" t="s">
        <v>249</v>
      </c>
      <c r="D150" t="s">
        <v>146</v>
      </c>
    </row>
    <row r="151" spans="1:4" x14ac:dyDescent="0.3">
      <c r="A151" s="7" t="s">
        <v>262</v>
      </c>
      <c r="B151" t="s">
        <v>263</v>
      </c>
      <c r="C151" t="s">
        <v>249</v>
      </c>
      <c r="D151" t="s">
        <v>146</v>
      </c>
    </row>
    <row r="152" spans="1:4" x14ac:dyDescent="0.3">
      <c r="A152" s="7" t="s">
        <v>250</v>
      </c>
      <c r="B152" t="s">
        <v>257</v>
      </c>
      <c r="C152" t="s">
        <v>249</v>
      </c>
      <c r="D152" t="s">
        <v>146</v>
      </c>
    </row>
    <row r="153" spans="1:4" x14ac:dyDescent="0.3">
      <c r="A153" s="7" t="s">
        <v>251</v>
      </c>
      <c r="B153" t="s">
        <v>248</v>
      </c>
      <c r="C153" t="s">
        <v>249</v>
      </c>
      <c r="D153" t="s">
        <v>146</v>
      </c>
    </row>
    <row r="154" spans="1:4" x14ac:dyDescent="0.3">
      <c r="A154" s="7" t="s">
        <v>252</v>
      </c>
      <c r="B154" t="s">
        <v>256</v>
      </c>
      <c r="C154" t="s">
        <v>249</v>
      </c>
      <c r="D154" t="s">
        <v>146</v>
      </c>
    </row>
    <row r="155" spans="1:4" x14ac:dyDescent="0.3">
      <c r="A155" s="7" t="s">
        <v>289</v>
      </c>
      <c r="B155" t="s">
        <v>290</v>
      </c>
      <c r="C155" t="s">
        <v>249</v>
      </c>
      <c r="D155" t="s">
        <v>146</v>
      </c>
    </row>
    <row r="156" spans="1:4" x14ac:dyDescent="0.3">
      <c r="A156" s="7" t="s">
        <v>275</v>
      </c>
      <c r="B156" t="s">
        <v>274</v>
      </c>
      <c r="C156" t="s">
        <v>249</v>
      </c>
      <c r="D156" t="s">
        <v>146</v>
      </c>
    </row>
    <row r="157" spans="1:4" x14ac:dyDescent="0.3">
      <c r="A157" s="7" t="s">
        <v>253</v>
      </c>
      <c r="B157" t="s">
        <v>255</v>
      </c>
      <c r="C157" t="s">
        <v>249</v>
      </c>
      <c r="D157" s="4" t="s">
        <v>150</v>
      </c>
    </row>
    <row r="158" spans="1:4" x14ac:dyDescent="0.3">
      <c r="A158" s="7" t="s">
        <v>262</v>
      </c>
      <c r="B158" t="s">
        <v>263</v>
      </c>
      <c r="C158" t="s">
        <v>249</v>
      </c>
      <c r="D158" s="4" t="s">
        <v>150</v>
      </c>
    </row>
    <row r="159" spans="1:4" x14ac:dyDescent="0.3">
      <c r="A159" s="7" t="s">
        <v>250</v>
      </c>
      <c r="B159" t="s">
        <v>257</v>
      </c>
      <c r="C159" t="s">
        <v>249</v>
      </c>
      <c r="D159" s="4" t="s">
        <v>150</v>
      </c>
    </row>
    <row r="160" spans="1:4" x14ac:dyDescent="0.3">
      <c r="A160" s="7" t="s">
        <v>251</v>
      </c>
      <c r="B160" t="s">
        <v>248</v>
      </c>
      <c r="C160" t="s">
        <v>249</v>
      </c>
      <c r="D160" s="4" t="s">
        <v>150</v>
      </c>
    </row>
    <row r="161" spans="1:4" x14ac:dyDescent="0.3">
      <c r="A161" s="7" t="s">
        <v>252</v>
      </c>
      <c r="B161" t="s">
        <v>256</v>
      </c>
      <c r="C161" t="s">
        <v>249</v>
      </c>
      <c r="D161" s="4" t="s">
        <v>150</v>
      </c>
    </row>
    <row r="162" spans="1:4" x14ac:dyDescent="0.3">
      <c r="A162" s="7" t="s">
        <v>275</v>
      </c>
      <c r="B162" t="s">
        <v>274</v>
      </c>
      <c r="C162" t="s">
        <v>249</v>
      </c>
      <c r="D162" s="4" t="s">
        <v>150</v>
      </c>
    </row>
    <row r="163" spans="1:4" x14ac:dyDescent="0.3">
      <c r="A163" s="7" t="s">
        <v>253</v>
      </c>
      <c r="B163" t="s">
        <v>255</v>
      </c>
      <c r="C163" t="s">
        <v>249</v>
      </c>
      <c r="D163" t="s">
        <v>28</v>
      </c>
    </row>
    <row r="164" spans="1:4" x14ac:dyDescent="0.3">
      <c r="A164" s="7" t="s">
        <v>262</v>
      </c>
      <c r="B164" t="s">
        <v>263</v>
      </c>
      <c r="C164" t="s">
        <v>249</v>
      </c>
      <c r="D164" t="s">
        <v>28</v>
      </c>
    </row>
    <row r="165" spans="1:4" x14ac:dyDescent="0.3">
      <c r="A165" s="7" t="s">
        <v>250</v>
      </c>
      <c r="B165" t="s">
        <v>257</v>
      </c>
      <c r="C165" t="s">
        <v>249</v>
      </c>
      <c r="D165" t="s">
        <v>28</v>
      </c>
    </row>
    <row r="166" spans="1:4" x14ac:dyDescent="0.3">
      <c r="A166" s="7" t="s">
        <v>260</v>
      </c>
      <c r="B166" t="s">
        <v>258</v>
      </c>
      <c r="C166" t="s">
        <v>249</v>
      </c>
      <c r="D166" t="s">
        <v>28</v>
      </c>
    </row>
    <row r="167" spans="1:4" x14ac:dyDescent="0.3">
      <c r="A167" s="7" t="s">
        <v>251</v>
      </c>
      <c r="B167" t="s">
        <v>248</v>
      </c>
      <c r="C167" t="s">
        <v>249</v>
      </c>
      <c r="D167" t="s">
        <v>28</v>
      </c>
    </row>
    <row r="168" spans="1:4" x14ac:dyDescent="0.3">
      <c r="A168" s="7" t="s">
        <v>252</v>
      </c>
      <c r="B168" t="s">
        <v>256</v>
      </c>
      <c r="C168" t="s">
        <v>249</v>
      </c>
      <c r="D168" t="s">
        <v>28</v>
      </c>
    </row>
    <row r="169" spans="1:4" x14ac:dyDescent="0.3">
      <c r="A169" s="7" t="s">
        <v>275</v>
      </c>
      <c r="B169" t="s">
        <v>274</v>
      </c>
      <c r="C169" t="s">
        <v>249</v>
      </c>
      <c r="D169" t="s">
        <v>28</v>
      </c>
    </row>
    <row r="170" spans="1:4" x14ac:dyDescent="0.3">
      <c r="A170" s="7" t="s">
        <v>253</v>
      </c>
      <c r="B170" t="s">
        <v>255</v>
      </c>
      <c r="C170" t="s">
        <v>249</v>
      </c>
      <c r="D170" s="4" t="s">
        <v>154</v>
      </c>
    </row>
    <row r="171" spans="1:4" x14ac:dyDescent="0.3">
      <c r="A171" s="7" t="s">
        <v>262</v>
      </c>
      <c r="B171" t="s">
        <v>263</v>
      </c>
      <c r="C171" t="s">
        <v>249</v>
      </c>
      <c r="D171" s="4" t="s">
        <v>154</v>
      </c>
    </row>
    <row r="172" spans="1:4" x14ac:dyDescent="0.3">
      <c r="A172" s="7" t="s">
        <v>250</v>
      </c>
      <c r="B172" t="s">
        <v>257</v>
      </c>
      <c r="C172" t="s">
        <v>249</v>
      </c>
      <c r="D172" s="4" t="s">
        <v>154</v>
      </c>
    </row>
    <row r="173" spans="1:4" x14ac:dyDescent="0.3">
      <c r="A173" s="7" t="s">
        <v>251</v>
      </c>
      <c r="B173" t="s">
        <v>248</v>
      </c>
      <c r="C173" t="s">
        <v>249</v>
      </c>
      <c r="D173" s="4" t="s">
        <v>154</v>
      </c>
    </row>
    <row r="174" spans="1:4" x14ac:dyDescent="0.3">
      <c r="A174" s="7" t="s">
        <v>252</v>
      </c>
      <c r="B174" t="s">
        <v>256</v>
      </c>
      <c r="C174" t="s">
        <v>249</v>
      </c>
      <c r="D174" s="4" t="s">
        <v>154</v>
      </c>
    </row>
    <row r="175" spans="1:4" x14ac:dyDescent="0.3">
      <c r="A175" s="7" t="s">
        <v>253</v>
      </c>
      <c r="B175" t="s">
        <v>255</v>
      </c>
      <c r="C175" t="s">
        <v>249</v>
      </c>
      <c r="D175" t="s">
        <v>158</v>
      </c>
    </row>
    <row r="176" spans="1:4" x14ac:dyDescent="0.3">
      <c r="A176" s="7" t="s">
        <v>262</v>
      </c>
      <c r="B176" t="s">
        <v>263</v>
      </c>
      <c r="C176" t="s">
        <v>249</v>
      </c>
      <c r="D176" t="s">
        <v>158</v>
      </c>
    </row>
    <row r="177" spans="1:4" x14ac:dyDescent="0.3">
      <c r="A177" s="7" t="s">
        <v>250</v>
      </c>
      <c r="B177" t="s">
        <v>257</v>
      </c>
      <c r="C177" t="s">
        <v>249</v>
      </c>
      <c r="D177" t="s">
        <v>158</v>
      </c>
    </row>
    <row r="178" spans="1:4" x14ac:dyDescent="0.3">
      <c r="A178" s="7" t="s">
        <v>251</v>
      </c>
      <c r="B178" t="s">
        <v>248</v>
      </c>
      <c r="C178" t="s">
        <v>249</v>
      </c>
      <c r="D178" t="s">
        <v>158</v>
      </c>
    </row>
    <row r="179" spans="1:4" x14ac:dyDescent="0.3">
      <c r="A179" s="7" t="s">
        <v>252</v>
      </c>
      <c r="B179" t="s">
        <v>256</v>
      </c>
      <c r="C179" t="s">
        <v>249</v>
      </c>
      <c r="D179" t="s">
        <v>158</v>
      </c>
    </row>
    <row r="180" spans="1:4" x14ac:dyDescent="0.3">
      <c r="A180" s="7" t="s">
        <v>253</v>
      </c>
      <c r="B180" t="s">
        <v>255</v>
      </c>
      <c r="C180" t="s">
        <v>249</v>
      </c>
      <c r="D180" s="4" t="s">
        <v>163</v>
      </c>
    </row>
    <row r="181" spans="1:4" x14ac:dyDescent="0.3">
      <c r="A181" s="7" t="s">
        <v>262</v>
      </c>
      <c r="B181" t="s">
        <v>263</v>
      </c>
      <c r="C181" s="7" t="s">
        <v>249</v>
      </c>
      <c r="D181" s="4" t="s">
        <v>163</v>
      </c>
    </row>
    <row r="182" spans="1:4" x14ac:dyDescent="0.3">
      <c r="A182" s="7" t="s">
        <v>252</v>
      </c>
      <c r="B182" t="s">
        <v>256</v>
      </c>
      <c r="C182" t="s">
        <v>249</v>
      </c>
      <c r="D182" s="4" t="s">
        <v>163</v>
      </c>
    </row>
    <row r="183" spans="1:4" x14ac:dyDescent="0.3">
      <c r="A183" s="7" t="s">
        <v>275</v>
      </c>
      <c r="B183" t="s">
        <v>274</v>
      </c>
      <c r="C183" t="s">
        <v>249</v>
      </c>
      <c r="D183" s="4" t="s">
        <v>163</v>
      </c>
    </row>
    <row r="184" spans="1:4" x14ac:dyDescent="0.3">
      <c r="A184" s="7" t="s">
        <v>253</v>
      </c>
      <c r="B184" t="s">
        <v>255</v>
      </c>
      <c r="C184" t="s">
        <v>249</v>
      </c>
      <c r="D184" t="s">
        <v>164</v>
      </c>
    </row>
    <row r="185" spans="1:4" x14ac:dyDescent="0.3">
      <c r="A185" s="7" t="s">
        <v>262</v>
      </c>
      <c r="B185" t="s">
        <v>263</v>
      </c>
      <c r="C185" t="s">
        <v>249</v>
      </c>
      <c r="D185" t="s">
        <v>164</v>
      </c>
    </row>
    <row r="186" spans="1:4" x14ac:dyDescent="0.3">
      <c r="A186" s="7" t="s">
        <v>250</v>
      </c>
      <c r="B186" t="s">
        <v>257</v>
      </c>
      <c r="C186" s="7" t="s">
        <v>249</v>
      </c>
      <c r="D186" t="s">
        <v>164</v>
      </c>
    </row>
    <row r="187" spans="1:4" x14ac:dyDescent="0.3">
      <c r="A187" s="7" t="s">
        <v>260</v>
      </c>
      <c r="B187" t="s">
        <v>258</v>
      </c>
      <c r="C187" t="s">
        <v>249</v>
      </c>
      <c r="D187" t="s">
        <v>164</v>
      </c>
    </row>
    <row r="188" spans="1:4" x14ac:dyDescent="0.3">
      <c r="A188" s="7" t="s">
        <v>270</v>
      </c>
      <c r="B188" t="s">
        <v>269</v>
      </c>
      <c r="C188" t="s">
        <v>264</v>
      </c>
      <c r="D188" t="s">
        <v>164</v>
      </c>
    </row>
    <row r="189" spans="1:4" x14ac:dyDescent="0.3">
      <c r="A189" s="7" t="s">
        <v>275</v>
      </c>
      <c r="B189" t="s">
        <v>274</v>
      </c>
      <c r="C189" t="s">
        <v>249</v>
      </c>
      <c r="D189" t="s">
        <v>164</v>
      </c>
    </row>
    <row r="190" spans="1:4" x14ac:dyDescent="0.3">
      <c r="A190" s="7" t="s">
        <v>253</v>
      </c>
      <c r="B190" t="s">
        <v>255</v>
      </c>
      <c r="C190" s="7" t="s">
        <v>249</v>
      </c>
      <c r="D190" s="4" t="s">
        <v>165</v>
      </c>
    </row>
    <row r="191" spans="1:4" x14ac:dyDescent="0.3">
      <c r="A191" s="7" t="s">
        <v>250</v>
      </c>
      <c r="B191" t="s">
        <v>257</v>
      </c>
      <c r="C191" s="7" t="s">
        <v>249</v>
      </c>
      <c r="D191" s="4" t="s">
        <v>165</v>
      </c>
    </row>
    <row r="192" spans="1:4" x14ac:dyDescent="0.3">
      <c r="A192" s="7" t="s">
        <v>252</v>
      </c>
      <c r="B192" t="s">
        <v>256</v>
      </c>
      <c r="C192" s="7" t="s">
        <v>249</v>
      </c>
      <c r="D192" s="4" t="s">
        <v>165</v>
      </c>
    </row>
    <row r="193" spans="1:4" x14ac:dyDescent="0.3">
      <c r="A193" s="7" t="s">
        <v>270</v>
      </c>
      <c r="B193" t="s">
        <v>269</v>
      </c>
      <c r="C193" t="s">
        <v>264</v>
      </c>
      <c r="D193" s="4" t="s">
        <v>165</v>
      </c>
    </row>
    <row r="194" spans="1:4" x14ac:dyDescent="0.3">
      <c r="A194" s="7" t="s">
        <v>275</v>
      </c>
      <c r="B194" t="s">
        <v>274</v>
      </c>
      <c r="C194" t="s">
        <v>249</v>
      </c>
      <c r="D194" s="4" t="s">
        <v>165</v>
      </c>
    </row>
    <row r="195" spans="1:4" x14ac:dyDescent="0.3">
      <c r="A195" s="7" t="s">
        <v>253</v>
      </c>
      <c r="B195" t="s">
        <v>255</v>
      </c>
      <c r="C195" s="7" t="s">
        <v>249</v>
      </c>
      <c r="D195" t="s">
        <v>36</v>
      </c>
    </row>
    <row r="196" spans="1:4" x14ac:dyDescent="0.3">
      <c r="A196" s="7" t="s">
        <v>262</v>
      </c>
      <c r="B196" t="s">
        <v>263</v>
      </c>
      <c r="C196" t="s">
        <v>249</v>
      </c>
      <c r="D196" t="s">
        <v>36</v>
      </c>
    </row>
    <row r="197" spans="1:4" x14ac:dyDescent="0.3">
      <c r="A197" s="7" t="s">
        <v>250</v>
      </c>
      <c r="B197" t="s">
        <v>257</v>
      </c>
      <c r="C197" t="s">
        <v>249</v>
      </c>
      <c r="D197" t="s">
        <v>36</v>
      </c>
    </row>
    <row r="198" spans="1:4" x14ac:dyDescent="0.3">
      <c r="A198" s="7" t="s">
        <v>260</v>
      </c>
      <c r="B198" t="s">
        <v>258</v>
      </c>
      <c r="C198" t="s">
        <v>249</v>
      </c>
      <c r="D198" t="s">
        <v>36</v>
      </c>
    </row>
    <row r="199" spans="1:4" x14ac:dyDescent="0.3">
      <c r="A199" s="7" t="s">
        <v>252</v>
      </c>
      <c r="B199" t="s">
        <v>256</v>
      </c>
      <c r="C199" t="s">
        <v>249</v>
      </c>
      <c r="D199" t="s">
        <v>36</v>
      </c>
    </row>
    <row r="200" spans="1:4" x14ac:dyDescent="0.3">
      <c r="A200" s="7" t="s">
        <v>273</v>
      </c>
      <c r="B200" t="s">
        <v>272</v>
      </c>
      <c r="C200" t="s">
        <v>264</v>
      </c>
      <c r="D200" t="s">
        <v>36</v>
      </c>
    </row>
    <row r="201" spans="1:4" x14ac:dyDescent="0.3">
      <c r="A201" s="7" t="s">
        <v>254</v>
      </c>
      <c r="B201" t="s">
        <v>259</v>
      </c>
      <c r="C201" t="s">
        <v>249</v>
      </c>
      <c r="D201" t="s">
        <v>36</v>
      </c>
    </row>
    <row r="202" spans="1:4" x14ac:dyDescent="0.3">
      <c r="A202" s="7" t="s">
        <v>270</v>
      </c>
      <c r="B202" t="s">
        <v>269</v>
      </c>
      <c r="C202" t="s">
        <v>264</v>
      </c>
      <c r="D202" t="s">
        <v>36</v>
      </c>
    </row>
    <row r="203" spans="1:4" x14ac:dyDescent="0.3">
      <c r="A203" s="7" t="s">
        <v>275</v>
      </c>
      <c r="B203" t="s">
        <v>274</v>
      </c>
      <c r="C203" t="s">
        <v>249</v>
      </c>
      <c r="D203" t="s">
        <v>36</v>
      </c>
    </row>
    <row r="204" spans="1:4" x14ac:dyDescent="0.3">
      <c r="A204" s="7" t="s">
        <v>253</v>
      </c>
      <c r="B204" t="s">
        <v>255</v>
      </c>
      <c r="C204" t="s">
        <v>249</v>
      </c>
      <c r="D204" s="4" t="s">
        <v>166</v>
      </c>
    </row>
    <row r="205" spans="1:4" x14ac:dyDescent="0.3">
      <c r="A205" s="7" t="s">
        <v>262</v>
      </c>
      <c r="B205" t="s">
        <v>263</v>
      </c>
      <c r="C205" s="7" t="s">
        <v>249</v>
      </c>
      <c r="D205" s="4" t="s">
        <v>166</v>
      </c>
    </row>
    <row r="206" spans="1:4" x14ac:dyDescent="0.3">
      <c r="A206" s="7" t="s">
        <v>250</v>
      </c>
      <c r="B206" t="s">
        <v>257</v>
      </c>
      <c r="C206" t="s">
        <v>249</v>
      </c>
      <c r="D206" s="4" t="s">
        <v>166</v>
      </c>
    </row>
    <row r="207" spans="1:4" x14ac:dyDescent="0.3">
      <c r="A207" s="7" t="s">
        <v>260</v>
      </c>
      <c r="B207" t="s">
        <v>258</v>
      </c>
      <c r="C207" t="s">
        <v>249</v>
      </c>
      <c r="D207" s="4" t="s">
        <v>166</v>
      </c>
    </row>
    <row r="208" spans="1:4" x14ac:dyDescent="0.3">
      <c r="A208" s="7" t="s">
        <v>251</v>
      </c>
      <c r="B208" t="s">
        <v>248</v>
      </c>
      <c r="C208" s="7" t="s">
        <v>249</v>
      </c>
      <c r="D208" s="4" t="s">
        <v>166</v>
      </c>
    </row>
    <row r="209" spans="1:4" x14ac:dyDescent="0.3">
      <c r="A209" s="7" t="s">
        <v>252</v>
      </c>
      <c r="B209" t="s">
        <v>256</v>
      </c>
      <c r="C209" t="s">
        <v>249</v>
      </c>
      <c r="D209" s="4" t="s">
        <v>166</v>
      </c>
    </row>
    <row r="210" spans="1:4" x14ac:dyDescent="0.3">
      <c r="A210" s="7" t="s">
        <v>273</v>
      </c>
      <c r="B210" t="s">
        <v>272</v>
      </c>
      <c r="C210" s="7" t="s">
        <v>264</v>
      </c>
      <c r="D210" s="4" t="s">
        <v>166</v>
      </c>
    </row>
    <row r="211" spans="1:4" x14ac:dyDescent="0.3">
      <c r="A211" s="7" t="s">
        <v>270</v>
      </c>
      <c r="B211" t="s">
        <v>269</v>
      </c>
      <c r="C211" s="7" t="s">
        <v>264</v>
      </c>
      <c r="D211" s="4" t="s">
        <v>166</v>
      </c>
    </row>
    <row r="212" spans="1:4" x14ac:dyDescent="0.3">
      <c r="A212" s="7" t="s">
        <v>275</v>
      </c>
      <c r="B212" t="s">
        <v>274</v>
      </c>
      <c r="C212" t="s">
        <v>249</v>
      </c>
      <c r="D212" s="4" t="s">
        <v>166</v>
      </c>
    </row>
    <row r="213" spans="1:4" x14ac:dyDescent="0.3">
      <c r="A213" s="7" t="s">
        <v>253</v>
      </c>
      <c r="B213" t="s">
        <v>255</v>
      </c>
      <c r="C213" t="s">
        <v>249</v>
      </c>
      <c r="D213" t="s">
        <v>167</v>
      </c>
    </row>
    <row r="214" spans="1:4" x14ac:dyDescent="0.3">
      <c r="A214" s="7" t="s">
        <v>262</v>
      </c>
      <c r="B214" t="s">
        <v>263</v>
      </c>
      <c r="C214" s="7" t="s">
        <v>249</v>
      </c>
      <c r="D214" t="s">
        <v>167</v>
      </c>
    </row>
    <row r="215" spans="1:4" x14ac:dyDescent="0.3">
      <c r="A215" s="7" t="s">
        <v>250</v>
      </c>
      <c r="B215" t="s">
        <v>257</v>
      </c>
      <c r="C215" t="s">
        <v>249</v>
      </c>
      <c r="D215" t="s">
        <v>167</v>
      </c>
    </row>
    <row r="216" spans="1:4" x14ac:dyDescent="0.3">
      <c r="A216" s="7" t="s">
        <v>251</v>
      </c>
      <c r="B216" t="s">
        <v>248</v>
      </c>
      <c r="C216" t="s">
        <v>249</v>
      </c>
      <c r="D216" t="s">
        <v>167</v>
      </c>
    </row>
    <row r="217" spans="1:4" x14ac:dyDescent="0.3">
      <c r="A217" s="7" t="s">
        <v>252</v>
      </c>
      <c r="B217" t="s">
        <v>256</v>
      </c>
      <c r="C217" t="s">
        <v>249</v>
      </c>
      <c r="D217" t="s">
        <v>167</v>
      </c>
    </row>
    <row r="218" spans="1:4" x14ac:dyDescent="0.3">
      <c r="A218" s="7" t="s">
        <v>273</v>
      </c>
      <c r="B218" t="s">
        <v>272</v>
      </c>
      <c r="C218" t="s">
        <v>264</v>
      </c>
      <c r="D218" t="s">
        <v>167</v>
      </c>
    </row>
    <row r="219" spans="1:4" x14ac:dyDescent="0.3">
      <c r="A219" s="7" t="s">
        <v>270</v>
      </c>
      <c r="B219" t="s">
        <v>269</v>
      </c>
      <c r="C219" t="s">
        <v>264</v>
      </c>
      <c r="D219" t="s">
        <v>167</v>
      </c>
    </row>
    <row r="220" spans="1:4" x14ac:dyDescent="0.3">
      <c r="A220" s="7" t="s">
        <v>275</v>
      </c>
      <c r="B220" t="s">
        <v>274</v>
      </c>
      <c r="C220" t="s">
        <v>249</v>
      </c>
      <c r="D220" t="s">
        <v>167</v>
      </c>
    </row>
    <row r="221" spans="1:4" x14ac:dyDescent="0.3">
      <c r="A221" s="7" t="s">
        <v>265</v>
      </c>
      <c r="B221" t="s">
        <v>266</v>
      </c>
      <c r="C221" t="s">
        <v>249</v>
      </c>
      <c r="D221" s="4" t="s">
        <v>171</v>
      </c>
    </row>
    <row r="222" spans="1:4" x14ac:dyDescent="0.3">
      <c r="A222" s="7" t="s">
        <v>253</v>
      </c>
      <c r="B222" t="s">
        <v>255</v>
      </c>
      <c r="C222" t="s">
        <v>249</v>
      </c>
      <c r="D222" s="4" t="s">
        <v>171</v>
      </c>
    </row>
    <row r="223" spans="1:4" x14ac:dyDescent="0.3">
      <c r="A223" s="7" t="s">
        <v>262</v>
      </c>
      <c r="B223" t="s">
        <v>263</v>
      </c>
      <c r="C223" t="s">
        <v>249</v>
      </c>
      <c r="D223" s="4" t="s">
        <v>171</v>
      </c>
    </row>
    <row r="224" spans="1:4" x14ac:dyDescent="0.3">
      <c r="A224" s="7" t="s">
        <v>250</v>
      </c>
      <c r="B224" t="s">
        <v>257</v>
      </c>
      <c r="C224" t="s">
        <v>249</v>
      </c>
      <c r="D224" s="4" t="s">
        <v>171</v>
      </c>
    </row>
    <row r="225" spans="1:4" x14ac:dyDescent="0.3">
      <c r="A225" s="7" t="s">
        <v>260</v>
      </c>
      <c r="B225" t="s">
        <v>258</v>
      </c>
      <c r="C225" t="s">
        <v>249</v>
      </c>
      <c r="D225" s="4" t="s">
        <v>171</v>
      </c>
    </row>
    <row r="226" spans="1:4" x14ac:dyDescent="0.3">
      <c r="A226" s="7" t="s">
        <v>251</v>
      </c>
      <c r="B226" t="s">
        <v>248</v>
      </c>
      <c r="C226" s="7" t="s">
        <v>249</v>
      </c>
      <c r="D226" s="4" t="s">
        <v>171</v>
      </c>
    </row>
    <row r="227" spans="1:4" x14ac:dyDescent="0.3">
      <c r="A227" s="7" t="s">
        <v>252</v>
      </c>
      <c r="B227" t="s">
        <v>256</v>
      </c>
      <c r="C227" t="s">
        <v>249</v>
      </c>
      <c r="D227" s="4" t="s">
        <v>171</v>
      </c>
    </row>
    <row r="228" spans="1:4" x14ac:dyDescent="0.3">
      <c r="A228" s="7" t="s">
        <v>273</v>
      </c>
      <c r="B228" t="s">
        <v>272</v>
      </c>
      <c r="C228" t="s">
        <v>264</v>
      </c>
      <c r="D228" s="4" t="s">
        <v>171</v>
      </c>
    </row>
    <row r="229" spans="1:4" x14ac:dyDescent="0.3">
      <c r="A229" s="7" t="s">
        <v>254</v>
      </c>
      <c r="B229" t="s">
        <v>259</v>
      </c>
      <c r="C229" t="s">
        <v>249</v>
      </c>
      <c r="D229" s="4" t="s">
        <v>171</v>
      </c>
    </row>
    <row r="230" spans="1:4" x14ac:dyDescent="0.3">
      <c r="A230" s="7" t="s">
        <v>275</v>
      </c>
      <c r="B230" t="s">
        <v>274</v>
      </c>
      <c r="C230" t="s">
        <v>249</v>
      </c>
      <c r="D230" s="4" t="s">
        <v>171</v>
      </c>
    </row>
    <row r="231" spans="1:4" x14ac:dyDescent="0.3">
      <c r="A231" s="7" t="s">
        <v>253</v>
      </c>
      <c r="B231" t="s">
        <v>255</v>
      </c>
      <c r="C231" t="s">
        <v>249</v>
      </c>
      <c r="D231" t="s">
        <v>186</v>
      </c>
    </row>
    <row r="232" spans="1:4" x14ac:dyDescent="0.3">
      <c r="A232" s="7" t="s">
        <v>262</v>
      </c>
      <c r="B232" t="s">
        <v>263</v>
      </c>
      <c r="C232" t="s">
        <v>249</v>
      </c>
      <c r="D232" t="s">
        <v>186</v>
      </c>
    </row>
    <row r="233" spans="1:4" x14ac:dyDescent="0.3">
      <c r="A233" s="7" t="s">
        <v>250</v>
      </c>
      <c r="B233" t="s">
        <v>257</v>
      </c>
      <c r="C233" t="s">
        <v>249</v>
      </c>
      <c r="D233" t="s">
        <v>186</v>
      </c>
    </row>
    <row r="234" spans="1:4" x14ac:dyDescent="0.3">
      <c r="A234" s="7" t="s">
        <v>260</v>
      </c>
      <c r="B234" t="s">
        <v>258</v>
      </c>
      <c r="C234" t="s">
        <v>249</v>
      </c>
      <c r="D234" t="s">
        <v>186</v>
      </c>
    </row>
    <row r="235" spans="1:4" x14ac:dyDescent="0.3">
      <c r="A235" s="7" t="s">
        <v>251</v>
      </c>
      <c r="B235" t="s">
        <v>248</v>
      </c>
      <c r="C235" t="s">
        <v>249</v>
      </c>
      <c r="D235" t="s">
        <v>186</v>
      </c>
    </row>
    <row r="236" spans="1:4" x14ac:dyDescent="0.3">
      <c r="A236" s="7" t="s">
        <v>252</v>
      </c>
      <c r="B236" t="s">
        <v>256</v>
      </c>
      <c r="C236" t="s">
        <v>249</v>
      </c>
      <c r="D236" t="s">
        <v>186</v>
      </c>
    </row>
    <row r="237" spans="1:4" x14ac:dyDescent="0.3">
      <c r="A237" s="7" t="s">
        <v>273</v>
      </c>
      <c r="B237" t="s">
        <v>272</v>
      </c>
      <c r="C237" s="7" t="s">
        <v>264</v>
      </c>
      <c r="D237" t="s">
        <v>186</v>
      </c>
    </row>
    <row r="238" spans="1:4" x14ac:dyDescent="0.3">
      <c r="A238" s="7" t="s">
        <v>270</v>
      </c>
      <c r="B238" t="s">
        <v>269</v>
      </c>
      <c r="C238" s="7" t="s">
        <v>264</v>
      </c>
      <c r="D238" t="s">
        <v>186</v>
      </c>
    </row>
    <row r="239" spans="1:4" x14ac:dyDescent="0.3">
      <c r="A239" s="7" t="s">
        <v>275</v>
      </c>
      <c r="B239" t="s">
        <v>274</v>
      </c>
      <c r="C239" t="s">
        <v>249</v>
      </c>
      <c r="D239" t="s">
        <v>186</v>
      </c>
    </row>
    <row r="240" spans="1:4" x14ac:dyDescent="0.3">
      <c r="A240" s="7" t="s">
        <v>253</v>
      </c>
      <c r="B240" t="s">
        <v>255</v>
      </c>
      <c r="C240" t="s">
        <v>249</v>
      </c>
      <c r="D240" s="4" t="s">
        <v>187</v>
      </c>
    </row>
    <row r="241" spans="1:4" x14ac:dyDescent="0.3">
      <c r="A241" s="7" t="s">
        <v>262</v>
      </c>
      <c r="B241" t="s">
        <v>263</v>
      </c>
      <c r="C241" s="7" t="s">
        <v>249</v>
      </c>
      <c r="D241" s="4" t="s">
        <v>187</v>
      </c>
    </row>
    <row r="242" spans="1:4" x14ac:dyDescent="0.3">
      <c r="A242" s="7" t="s">
        <v>250</v>
      </c>
      <c r="B242" t="s">
        <v>257</v>
      </c>
      <c r="C242" t="s">
        <v>249</v>
      </c>
      <c r="D242" s="4" t="s">
        <v>187</v>
      </c>
    </row>
    <row r="243" spans="1:4" x14ac:dyDescent="0.3">
      <c r="A243" s="7" t="s">
        <v>251</v>
      </c>
      <c r="B243" t="s">
        <v>248</v>
      </c>
      <c r="C243" t="s">
        <v>249</v>
      </c>
      <c r="D243" s="4" t="s">
        <v>187</v>
      </c>
    </row>
    <row r="244" spans="1:4" x14ac:dyDescent="0.3">
      <c r="A244" s="7" t="s">
        <v>252</v>
      </c>
      <c r="B244" t="s">
        <v>256</v>
      </c>
      <c r="C244" t="s">
        <v>249</v>
      </c>
      <c r="D244" s="4" t="s">
        <v>187</v>
      </c>
    </row>
    <row r="245" spans="1:4" x14ac:dyDescent="0.3">
      <c r="A245" s="7" t="s">
        <v>254</v>
      </c>
      <c r="B245" t="s">
        <v>259</v>
      </c>
      <c r="C245" s="7" t="s">
        <v>249</v>
      </c>
      <c r="D245" s="4" t="s">
        <v>187</v>
      </c>
    </row>
    <row r="246" spans="1:4" x14ac:dyDescent="0.3">
      <c r="A246" s="7" t="s">
        <v>270</v>
      </c>
      <c r="B246" t="s">
        <v>269</v>
      </c>
      <c r="C246" t="s">
        <v>264</v>
      </c>
      <c r="D246" s="4" t="s">
        <v>187</v>
      </c>
    </row>
    <row r="247" spans="1:4" x14ac:dyDescent="0.3">
      <c r="A247" s="7" t="s">
        <v>275</v>
      </c>
      <c r="B247" t="s">
        <v>274</v>
      </c>
      <c r="C247" t="s">
        <v>249</v>
      </c>
      <c r="D247" s="4" t="s">
        <v>187</v>
      </c>
    </row>
    <row r="248" spans="1:4" x14ac:dyDescent="0.3">
      <c r="A248" s="7" t="s">
        <v>253</v>
      </c>
      <c r="B248" t="s">
        <v>255</v>
      </c>
      <c r="C248" t="s">
        <v>249</v>
      </c>
      <c r="D248" t="s">
        <v>195</v>
      </c>
    </row>
    <row r="249" spans="1:4" x14ac:dyDescent="0.3">
      <c r="A249" s="7" t="s">
        <v>262</v>
      </c>
      <c r="B249" t="s">
        <v>263</v>
      </c>
      <c r="C249" s="7" t="s">
        <v>249</v>
      </c>
      <c r="D249" t="s">
        <v>195</v>
      </c>
    </row>
    <row r="250" spans="1:4" x14ac:dyDescent="0.3">
      <c r="A250" s="7" t="s">
        <v>250</v>
      </c>
      <c r="B250" t="s">
        <v>257</v>
      </c>
      <c r="C250" t="s">
        <v>249</v>
      </c>
      <c r="D250" t="s">
        <v>195</v>
      </c>
    </row>
    <row r="251" spans="1:4" x14ac:dyDescent="0.3">
      <c r="A251" s="7" t="s">
        <v>251</v>
      </c>
      <c r="B251" t="s">
        <v>248</v>
      </c>
      <c r="C251" t="s">
        <v>249</v>
      </c>
      <c r="D251" t="s">
        <v>195</v>
      </c>
    </row>
    <row r="252" spans="1:4" x14ac:dyDescent="0.3">
      <c r="A252" s="7" t="s">
        <v>252</v>
      </c>
      <c r="B252" t="s">
        <v>256</v>
      </c>
      <c r="C252" s="7" t="s">
        <v>249</v>
      </c>
      <c r="D252" t="s">
        <v>195</v>
      </c>
    </row>
    <row r="253" spans="1:4" x14ac:dyDescent="0.3">
      <c r="A253" s="7" t="s">
        <v>275</v>
      </c>
      <c r="B253" t="s">
        <v>274</v>
      </c>
      <c r="C253" t="s">
        <v>249</v>
      </c>
      <c r="D253" t="s">
        <v>195</v>
      </c>
    </row>
    <row r="254" spans="1:4" x14ac:dyDescent="0.3">
      <c r="A254" s="7" t="s">
        <v>253</v>
      </c>
      <c r="B254" t="s">
        <v>255</v>
      </c>
      <c r="C254" t="s">
        <v>249</v>
      </c>
      <c r="D254" s="4" t="s">
        <v>199</v>
      </c>
    </row>
    <row r="255" spans="1:4" x14ac:dyDescent="0.3">
      <c r="A255" s="7" t="s">
        <v>262</v>
      </c>
      <c r="B255" t="s">
        <v>263</v>
      </c>
      <c r="C255" t="s">
        <v>249</v>
      </c>
      <c r="D255" s="4" t="s">
        <v>199</v>
      </c>
    </row>
    <row r="256" spans="1:4" x14ac:dyDescent="0.3">
      <c r="A256" s="7" t="s">
        <v>250</v>
      </c>
      <c r="B256" t="s">
        <v>257</v>
      </c>
      <c r="C256" t="s">
        <v>249</v>
      </c>
      <c r="D256" s="4" t="s">
        <v>199</v>
      </c>
    </row>
    <row r="257" spans="1:4" x14ac:dyDescent="0.3">
      <c r="A257" s="7" t="s">
        <v>252</v>
      </c>
      <c r="B257" t="s">
        <v>256</v>
      </c>
      <c r="C257" t="s">
        <v>249</v>
      </c>
      <c r="D257" s="4" t="s">
        <v>199</v>
      </c>
    </row>
    <row r="258" spans="1:4" x14ac:dyDescent="0.3">
      <c r="A258" s="7" t="s">
        <v>273</v>
      </c>
      <c r="B258" t="s">
        <v>272</v>
      </c>
      <c r="C258" t="s">
        <v>264</v>
      </c>
      <c r="D258" s="4" t="s">
        <v>199</v>
      </c>
    </row>
    <row r="259" spans="1:4" x14ac:dyDescent="0.3">
      <c r="A259" s="7" t="s">
        <v>275</v>
      </c>
      <c r="B259" t="s">
        <v>274</v>
      </c>
      <c r="C259" t="s">
        <v>249</v>
      </c>
      <c r="D259" s="4" t="s">
        <v>199</v>
      </c>
    </row>
    <row r="260" spans="1:4" x14ac:dyDescent="0.3">
      <c r="A260" s="7" t="s">
        <v>250</v>
      </c>
      <c r="B260" t="s">
        <v>257</v>
      </c>
      <c r="C260" s="7" t="s">
        <v>249</v>
      </c>
      <c r="D260" t="s">
        <v>32</v>
      </c>
    </row>
    <row r="261" spans="1:4" x14ac:dyDescent="0.3">
      <c r="A261" s="7" t="s">
        <v>252</v>
      </c>
      <c r="B261" t="s">
        <v>256</v>
      </c>
      <c r="C261" t="s">
        <v>249</v>
      </c>
      <c r="D261" t="s">
        <v>32</v>
      </c>
    </row>
    <row r="262" spans="1:4" x14ac:dyDescent="0.3">
      <c r="A262" s="7" t="s">
        <v>275</v>
      </c>
      <c r="B262" t="s">
        <v>274</v>
      </c>
      <c r="C262" t="s">
        <v>249</v>
      </c>
      <c r="D262" t="s">
        <v>32</v>
      </c>
    </row>
    <row r="263" spans="1:4" x14ac:dyDescent="0.3">
      <c r="A263" s="7" t="s">
        <v>253</v>
      </c>
      <c r="B263" t="s">
        <v>255</v>
      </c>
      <c r="C263" t="s">
        <v>249</v>
      </c>
      <c r="D263" s="4" t="s">
        <v>203</v>
      </c>
    </row>
    <row r="264" spans="1:4" x14ac:dyDescent="0.3">
      <c r="A264" s="7" t="s">
        <v>262</v>
      </c>
      <c r="B264" t="s">
        <v>263</v>
      </c>
      <c r="C264" t="s">
        <v>249</v>
      </c>
      <c r="D264" s="4" t="s">
        <v>203</v>
      </c>
    </row>
    <row r="265" spans="1:4" x14ac:dyDescent="0.3">
      <c r="A265" s="7" t="s">
        <v>250</v>
      </c>
      <c r="B265" t="s">
        <v>257</v>
      </c>
      <c r="C265" t="s">
        <v>249</v>
      </c>
      <c r="D265" s="4" t="s">
        <v>203</v>
      </c>
    </row>
    <row r="266" spans="1:4" x14ac:dyDescent="0.3">
      <c r="A266" s="7" t="s">
        <v>260</v>
      </c>
      <c r="B266" t="s">
        <v>258</v>
      </c>
      <c r="C266" t="s">
        <v>249</v>
      </c>
      <c r="D266" s="4" t="s">
        <v>203</v>
      </c>
    </row>
    <row r="267" spans="1:4" x14ac:dyDescent="0.3">
      <c r="A267" s="7" t="s">
        <v>251</v>
      </c>
      <c r="B267" t="s">
        <v>248</v>
      </c>
      <c r="C267" t="s">
        <v>249</v>
      </c>
      <c r="D267" s="4" t="s">
        <v>203</v>
      </c>
    </row>
    <row r="268" spans="1:4" x14ac:dyDescent="0.3">
      <c r="A268" s="7" t="s">
        <v>252</v>
      </c>
      <c r="B268" t="s">
        <v>256</v>
      </c>
      <c r="C268" t="s">
        <v>249</v>
      </c>
      <c r="D268" s="4" t="s">
        <v>203</v>
      </c>
    </row>
    <row r="269" spans="1:4" x14ac:dyDescent="0.3">
      <c r="A269" s="7" t="s">
        <v>273</v>
      </c>
      <c r="B269" t="s">
        <v>272</v>
      </c>
      <c r="C269" s="7" t="s">
        <v>264</v>
      </c>
      <c r="D269" s="4" t="s">
        <v>203</v>
      </c>
    </row>
    <row r="270" spans="1:4" x14ac:dyDescent="0.3">
      <c r="A270" s="7" t="s">
        <v>275</v>
      </c>
      <c r="B270" t="s">
        <v>274</v>
      </c>
      <c r="C270" t="s">
        <v>249</v>
      </c>
      <c r="D270" s="4" t="s">
        <v>203</v>
      </c>
    </row>
    <row r="271" spans="1:4" x14ac:dyDescent="0.3">
      <c r="A271" s="7" t="s">
        <v>253</v>
      </c>
      <c r="B271" t="s">
        <v>255</v>
      </c>
      <c r="C271" t="s">
        <v>249</v>
      </c>
      <c r="D271" t="s">
        <v>40</v>
      </c>
    </row>
    <row r="272" spans="1:4" x14ac:dyDescent="0.3">
      <c r="A272" s="7" t="s">
        <v>262</v>
      </c>
      <c r="B272" t="s">
        <v>263</v>
      </c>
      <c r="C272" t="s">
        <v>249</v>
      </c>
      <c r="D272" t="s">
        <v>40</v>
      </c>
    </row>
    <row r="273" spans="1:4" x14ac:dyDescent="0.3">
      <c r="A273" s="7" t="s">
        <v>250</v>
      </c>
      <c r="B273" t="s">
        <v>257</v>
      </c>
      <c r="C273" s="7" t="s">
        <v>249</v>
      </c>
      <c r="D273" t="s">
        <v>40</v>
      </c>
    </row>
    <row r="274" spans="1:4" x14ac:dyDescent="0.3">
      <c r="A274" s="7" t="s">
        <v>260</v>
      </c>
      <c r="B274" t="s">
        <v>258</v>
      </c>
      <c r="C274" t="s">
        <v>249</v>
      </c>
      <c r="D274" t="s">
        <v>40</v>
      </c>
    </row>
    <row r="275" spans="1:4" x14ac:dyDescent="0.3">
      <c r="A275" s="7" t="s">
        <v>251</v>
      </c>
      <c r="B275" t="s">
        <v>248</v>
      </c>
      <c r="C275" t="s">
        <v>249</v>
      </c>
      <c r="D275" t="s">
        <v>40</v>
      </c>
    </row>
    <row r="276" spans="1:4" x14ac:dyDescent="0.3">
      <c r="A276" s="7" t="s">
        <v>252</v>
      </c>
      <c r="B276" t="s">
        <v>256</v>
      </c>
      <c r="C276" t="s">
        <v>249</v>
      </c>
      <c r="D276" t="s">
        <v>40</v>
      </c>
    </row>
    <row r="277" spans="1:4" x14ac:dyDescent="0.3">
      <c r="A277" s="7" t="s">
        <v>273</v>
      </c>
      <c r="B277" t="s">
        <v>272</v>
      </c>
      <c r="C277" t="s">
        <v>264</v>
      </c>
      <c r="D277" t="s">
        <v>40</v>
      </c>
    </row>
    <row r="278" spans="1:4" x14ac:dyDescent="0.3">
      <c r="A278" s="7" t="s">
        <v>289</v>
      </c>
      <c r="B278" t="s">
        <v>290</v>
      </c>
      <c r="C278" t="s">
        <v>249</v>
      </c>
      <c r="D278" t="s">
        <v>40</v>
      </c>
    </row>
    <row r="279" spans="1:4" x14ac:dyDescent="0.3">
      <c r="A279" s="7" t="s">
        <v>275</v>
      </c>
      <c r="B279" t="s">
        <v>274</v>
      </c>
      <c r="C279" t="s">
        <v>249</v>
      </c>
      <c r="D279" t="s">
        <v>40</v>
      </c>
    </row>
    <row r="280" spans="1:4" x14ac:dyDescent="0.3">
      <c r="A280" s="7" t="s">
        <v>253</v>
      </c>
      <c r="B280" t="s">
        <v>255</v>
      </c>
      <c r="C280" t="s">
        <v>249</v>
      </c>
      <c r="D280" s="4" t="s">
        <v>47</v>
      </c>
    </row>
    <row r="281" spans="1:4" x14ac:dyDescent="0.3">
      <c r="A281" s="7" t="s">
        <v>262</v>
      </c>
      <c r="B281" t="s">
        <v>263</v>
      </c>
      <c r="C281" t="s">
        <v>249</v>
      </c>
      <c r="D281" s="4" t="s">
        <v>47</v>
      </c>
    </row>
    <row r="282" spans="1:4" x14ac:dyDescent="0.3">
      <c r="A282" s="7" t="s">
        <v>250</v>
      </c>
      <c r="B282" t="s">
        <v>257</v>
      </c>
      <c r="C282" t="s">
        <v>249</v>
      </c>
      <c r="D282" s="4" t="s">
        <v>47</v>
      </c>
    </row>
    <row r="283" spans="1:4" x14ac:dyDescent="0.3">
      <c r="A283" s="7" t="s">
        <v>251</v>
      </c>
      <c r="B283" t="s">
        <v>248</v>
      </c>
      <c r="C283" t="s">
        <v>249</v>
      </c>
      <c r="D283" s="4" t="s">
        <v>47</v>
      </c>
    </row>
    <row r="284" spans="1:4" x14ac:dyDescent="0.3">
      <c r="A284" s="7" t="s">
        <v>252</v>
      </c>
      <c r="B284" t="s">
        <v>256</v>
      </c>
      <c r="C284" t="s">
        <v>249</v>
      </c>
      <c r="D284" s="4" t="s">
        <v>47</v>
      </c>
    </row>
    <row r="285" spans="1:4" x14ac:dyDescent="0.3">
      <c r="A285" s="7" t="s">
        <v>275</v>
      </c>
      <c r="B285" t="s">
        <v>274</v>
      </c>
      <c r="C285" t="s">
        <v>249</v>
      </c>
      <c r="D285" s="4" t="s">
        <v>47</v>
      </c>
    </row>
    <row r="286" spans="1:4" x14ac:dyDescent="0.3">
      <c r="A286" s="7" t="s">
        <v>253</v>
      </c>
      <c r="B286" t="s">
        <v>255</v>
      </c>
      <c r="C286" t="s">
        <v>249</v>
      </c>
      <c r="D286" t="s">
        <v>212</v>
      </c>
    </row>
    <row r="287" spans="1:4" x14ac:dyDescent="0.3">
      <c r="A287" s="7" t="s">
        <v>262</v>
      </c>
      <c r="B287" t="s">
        <v>263</v>
      </c>
      <c r="C287" t="s">
        <v>249</v>
      </c>
      <c r="D287" t="s">
        <v>212</v>
      </c>
    </row>
    <row r="288" spans="1:4" x14ac:dyDescent="0.3">
      <c r="A288" s="7" t="s">
        <v>250</v>
      </c>
      <c r="B288" t="s">
        <v>257</v>
      </c>
      <c r="C288" t="s">
        <v>249</v>
      </c>
      <c r="D288" t="s">
        <v>212</v>
      </c>
    </row>
    <row r="289" spans="1:4" x14ac:dyDescent="0.3">
      <c r="A289" s="7" t="s">
        <v>251</v>
      </c>
      <c r="B289" t="s">
        <v>248</v>
      </c>
      <c r="C289" t="s">
        <v>249</v>
      </c>
      <c r="D289" t="s">
        <v>212</v>
      </c>
    </row>
    <row r="290" spans="1:4" x14ac:dyDescent="0.3">
      <c r="A290" s="7" t="s">
        <v>252</v>
      </c>
      <c r="B290" t="s">
        <v>256</v>
      </c>
      <c r="C290" t="s">
        <v>249</v>
      </c>
      <c r="D290" t="s">
        <v>212</v>
      </c>
    </row>
    <row r="291" spans="1:4" x14ac:dyDescent="0.3">
      <c r="A291" s="7" t="s">
        <v>289</v>
      </c>
      <c r="B291" t="s">
        <v>290</v>
      </c>
      <c r="C291" t="s">
        <v>249</v>
      </c>
      <c r="D291" t="s">
        <v>212</v>
      </c>
    </row>
    <row r="292" spans="1:4" x14ac:dyDescent="0.3">
      <c r="A292" s="7" t="s">
        <v>275</v>
      </c>
      <c r="B292" t="s">
        <v>274</v>
      </c>
      <c r="C292" t="s">
        <v>249</v>
      </c>
      <c r="D292" t="s">
        <v>212</v>
      </c>
    </row>
    <row r="293" spans="1:4" x14ac:dyDescent="0.3">
      <c r="A293" s="7" t="s">
        <v>253</v>
      </c>
      <c r="B293" t="s">
        <v>255</v>
      </c>
      <c r="C293" t="s">
        <v>249</v>
      </c>
      <c r="D293" s="4" t="s">
        <v>213</v>
      </c>
    </row>
    <row r="294" spans="1:4" x14ac:dyDescent="0.3">
      <c r="A294" s="7" t="s">
        <v>262</v>
      </c>
      <c r="B294" t="s">
        <v>263</v>
      </c>
      <c r="C294" t="s">
        <v>249</v>
      </c>
      <c r="D294" s="4" t="s">
        <v>213</v>
      </c>
    </row>
    <row r="295" spans="1:4" x14ac:dyDescent="0.3">
      <c r="A295" s="7" t="s">
        <v>250</v>
      </c>
      <c r="B295" t="s">
        <v>257</v>
      </c>
      <c r="C295" t="s">
        <v>249</v>
      </c>
      <c r="D295" s="4" t="s">
        <v>213</v>
      </c>
    </row>
    <row r="296" spans="1:4" x14ac:dyDescent="0.3">
      <c r="A296" s="7" t="s">
        <v>251</v>
      </c>
      <c r="B296" t="s">
        <v>248</v>
      </c>
      <c r="C296" t="s">
        <v>249</v>
      </c>
      <c r="D296" s="4" t="s">
        <v>213</v>
      </c>
    </row>
    <row r="297" spans="1:4" x14ac:dyDescent="0.3">
      <c r="A297" s="7" t="s">
        <v>252</v>
      </c>
      <c r="B297" t="s">
        <v>256</v>
      </c>
      <c r="C297" t="s">
        <v>249</v>
      </c>
      <c r="D297" s="4" t="s">
        <v>213</v>
      </c>
    </row>
    <row r="298" spans="1:4" x14ac:dyDescent="0.3">
      <c r="A298" s="7" t="s">
        <v>275</v>
      </c>
      <c r="B298" t="s">
        <v>274</v>
      </c>
      <c r="C298" t="s">
        <v>249</v>
      </c>
      <c r="D298" s="4" t="s">
        <v>213</v>
      </c>
    </row>
    <row r="299" spans="1:4" x14ac:dyDescent="0.3">
      <c r="A299" s="7" t="s">
        <v>253</v>
      </c>
      <c r="B299" t="s">
        <v>255</v>
      </c>
      <c r="C299" t="s">
        <v>249</v>
      </c>
      <c r="D299" t="s">
        <v>214</v>
      </c>
    </row>
    <row r="300" spans="1:4" x14ac:dyDescent="0.3">
      <c r="A300" s="7" t="s">
        <v>262</v>
      </c>
      <c r="B300" t="s">
        <v>263</v>
      </c>
      <c r="C300" t="s">
        <v>249</v>
      </c>
      <c r="D300" t="s">
        <v>214</v>
      </c>
    </row>
    <row r="301" spans="1:4" x14ac:dyDescent="0.3">
      <c r="A301" s="7" t="s">
        <v>250</v>
      </c>
      <c r="B301" t="s">
        <v>257</v>
      </c>
      <c r="C301" t="s">
        <v>249</v>
      </c>
      <c r="D301" t="s">
        <v>214</v>
      </c>
    </row>
    <row r="302" spans="1:4" x14ac:dyDescent="0.3">
      <c r="A302" s="7" t="s">
        <v>260</v>
      </c>
      <c r="B302" t="s">
        <v>258</v>
      </c>
      <c r="C302" t="s">
        <v>249</v>
      </c>
      <c r="D302" t="s">
        <v>214</v>
      </c>
    </row>
    <row r="303" spans="1:4" x14ac:dyDescent="0.3">
      <c r="A303" s="7" t="s">
        <v>251</v>
      </c>
      <c r="B303" t="s">
        <v>248</v>
      </c>
      <c r="C303" t="s">
        <v>249</v>
      </c>
      <c r="D303" t="s">
        <v>214</v>
      </c>
    </row>
    <row r="304" spans="1:4" x14ac:dyDescent="0.3">
      <c r="A304" s="7" t="s">
        <v>252</v>
      </c>
      <c r="B304" t="s">
        <v>256</v>
      </c>
      <c r="C304" t="s">
        <v>249</v>
      </c>
      <c r="D304" t="s">
        <v>214</v>
      </c>
    </row>
    <row r="305" spans="1:4" x14ac:dyDescent="0.3">
      <c r="A305" s="7" t="s">
        <v>275</v>
      </c>
      <c r="B305" t="s">
        <v>274</v>
      </c>
      <c r="C305" t="s">
        <v>249</v>
      </c>
      <c r="D305" t="s">
        <v>214</v>
      </c>
    </row>
    <row r="306" spans="1:4" x14ac:dyDescent="0.3">
      <c r="A306" s="7" t="s">
        <v>253</v>
      </c>
      <c r="B306" t="s">
        <v>255</v>
      </c>
      <c r="C306" t="s">
        <v>249</v>
      </c>
      <c r="D306" s="4" t="s">
        <v>43</v>
      </c>
    </row>
    <row r="307" spans="1:4" x14ac:dyDescent="0.3">
      <c r="A307" s="7" t="s">
        <v>262</v>
      </c>
      <c r="B307" t="s">
        <v>263</v>
      </c>
      <c r="C307" t="s">
        <v>249</v>
      </c>
      <c r="D307" s="4" t="s">
        <v>43</v>
      </c>
    </row>
    <row r="308" spans="1:4" x14ac:dyDescent="0.3">
      <c r="A308" s="7" t="s">
        <v>250</v>
      </c>
      <c r="B308" t="s">
        <v>257</v>
      </c>
      <c r="C308" t="s">
        <v>249</v>
      </c>
      <c r="D308" s="4" t="s">
        <v>43</v>
      </c>
    </row>
    <row r="309" spans="1:4" x14ac:dyDescent="0.3">
      <c r="A309" s="7" t="s">
        <v>299</v>
      </c>
      <c r="B309" t="s">
        <v>300</v>
      </c>
      <c r="C309" t="s">
        <v>264</v>
      </c>
      <c r="D309" s="4" t="s">
        <v>43</v>
      </c>
    </row>
    <row r="310" spans="1:4" x14ac:dyDescent="0.3">
      <c r="A310" s="7" t="s">
        <v>251</v>
      </c>
      <c r="B310" t="s">
        <v>248</v>
      </c>
      <c r="C310" t="s">
        <v>249</v>
      </c>
      <c r="D310" s="4" t="s">
        <v>43</v>
      </c>
    </row>
    <row r="311" spans="1:4" x14ac:dyDescent="0.3">
      <c r="A311" s="7" t="s">
        <v>252</v>
      </c>
      <c r="B311" t="s">
        <v>256</v>
      </c>
      <c r="C311" t="s">
        <v>249</v>
      </c>
      <c r="D311" s="4" t="s">
        <v>43</v>
      </c>
    </row>
    <row r="312" spans="1:4" x14ac:dyDescent="0.3">
      <c r="A312" s="7" t="s">
        <v>289</v>
      </c>
      <c r="B312" t="s">
        <v>290</v>
      </c>
      <c r="C312" t="s">
        <v>249</v>
      </c>
      <c r="D312" s="4" t="s">
        <v>43</v>
      </c>
    </row>
    <row r="313" spans="1:4" x14ac:dyDescent="0.3">
      <c r="A313" s="7" t="s">
        <v>275</v>
      </c>
      <c r="B313" t="s">
        <v>274</v>
      </c>
      <c r="C313" t="s">
        <v>249</v>
      </c>
      <c r="D313" s="4" t="s">
        <v>43</v>
      </c>
    </row>
    <row r="314" spans="1:4" x14ac:dyDescent="0.3">
      <c r="A314" s="7" t="s">
        <v>253</v>
      </c>
      <c r="B314" t="s">
        <v>255</v>
      </c>
      <c r="C314" t="s">
        <v>249</v>
      </c>
      <c r="D314" t="s">
        <v>215</v>
      </c>
    </row>
    <row r="315" spans="1:4" x14ac:dyDescent="0.3">
      <c r="A315" s="7" t="s">
        <v>262</v>
      </c>
      <c r="B315" t="s">
        <v>263</v>
      </c>
      <c r="C315" t="s">
        <v>249</v>
      </c>
      <c r="D315" t="s">
        <v>215</v>
      </c>
    </row>
    <row r="316" spans="1:4" x14ac:dyDescent="0.3">
      <c r="A316" s="7" t="s">
        <v>250</v>
      </c>
      <c r="B316" t="s">
        <v>257</v>
      </c>
      <c r="C316" t="s">
        <v>249</v>
      </c>
      <c r="D316" t="s">
        <v>215</v>
      </c>
    </row>
    <row r="317" spans="1:4" x14ac:dyDescent="0.3">
      <c r="A317" s="7" t="s">
        <v>299</v>
      </c>
      <c r="B317" t="s">
        <v>300</v>
      </c>
      <c r="C317" t="s">
        <v>264</v>
      </c>
      <c r="D317" t="s">
        <v>215</v>
      </c>
    </row>
    <row r="318" spans="1:4" x14ac:dyDescent="0.3">
      <c r="A318" s="7" t="s">
        <v>260</v>
      </c>
      <c r="B318" t="s">
        <v>258</v>
      </c>
      <c r="C318" t="s">
        <v>249</v>
      </c>
      <c r="D318" t="s">
        <v>215</v>
      </c>
    </row>
    <row r="319" spans="1:4" x14ac:dyDescent="0.3">
      <c r="A319" s="7" t="s">
        <v>251</v>
      </c>
      <c r="B319" t="s">
        <v>248</v>
      </c>
      <c r="C319" t="s">
        <v>249</v>
      </c>
      <c r="D319" t="s">
        <v>215</v>
      </c>
    </row>
    <row r="320" spans="1:4" x14ac:dyDescent="0.3">
      <c r="A320" s="7" t="s">
        <v>252</v>
      </c>
      <c r="B320" t="s">
        <v>256</v>
      </c>
      <c r="C320" t="s">
        <v>249</v>
      </c>
      <c r="D320" t="s">
        <v>215</v>
      </c>
    </row>
    <row r="321" spans="1:4" x14ac:dyDescent="0.3">
      <c r="A321" s="7" t="s">
        <v>275</v>
      </c>
      <c r="B321" t="s">
        <v>274</v>
      </c>
      <c r="C321" t="s">
        <v>249</v>
      </c>
      <c r="D321" t="s">
        <v>215</v>
      </c>
    </row>
    <row r="322" spans="1:4" x14ac:dyDescent="0.3">
      <c r="A322" s="7" t="s">
        <v>253</v>
      </c>
      <c r="B322" t="s">
        <v>255</v>
      </c>
      <c r="C322" t="s">
        <v>249</v>
      </c>
      <c r="D322" s="4" t="s">
        <v>216</v>
      </c>
    </row>
    <row r="323" spans="1:4" x14ac:dyDescent="0.3">
      <c r="A323" s="7" t="s">
        <v>262</v>
      </c>
      <c r="B323" t="s">
        <v>263</v>
      </c>
      <c r="C323" t="s">
        <v>249</v>
      </c>
      <c r="D323" s="4" t="s">
        <v>216</v>
      </c>
    </row>
    <row r="324" spans="1:4" x14ac:dyDescent="0.3">
      <c r="A324" s="7" t="s">
        <v>250</v>
      </c>
      <c r="B324" t="s">
        <v>257</v>
      </c>
      <c r="C324" t="s">
        <v>249</v>
      </c>
      <c r="D324" s="4" t="s">
        <v>216</v>
      </c>
    </row>
    <row r="325" spans="1:4" x14ac:dyDescent="0.3">
      <c r="A325" s="7" t="s">
        <v>260</v>
      </c>
      <c r="B325" t="s">
        <v>258</v>
      </c>
      <c r="C325" t="s">
        <v>249</v>
      </c>
      <c r="D325" s="4" t="s">
        <v>216</v>
      </c>
    </row>
    <row r="326" spans="1:4" x14ac:dyDescent="0.3">
      <c r="A326" s="7" t="s">
        <v>251</v>
      </c>
      <c r="B326" t="s">
        <v>248</v>
      </c>
      <c r="C326" t="s">
        <v>249</v>
      </c>
      <c r="D326" s="4" t="s">
        <v>216</v>
      </c>
    </row>
    <row r="327" spans="1:4" x14ac:dyDescent="0.3">
      <c r="A327" s="7" t="s">
        <v>289</v>
      </c>
      <c r="B327" t="s">
        <v>290</v>
      </c>
      <c r="C327" t="s">
        <v>249</v>
      </c>
      <c r="D327" s="4" t="s">
        <v>216</v>
      </c>
    </row>
    <row r="328" spans="1:4" x14ac:dyDescent="0.3">
      <c r="A328" s="7" t="s">
        <v>275</v>
      </c>
      <c r="B328" t="s">
        <v>274</v>
      </c>
      <c r="C328" t="s">
        <v>249</v>
      </c>
      <c r="D328" s="4" t="s">
        <v>216</v>
      </c>
    </row>
    <row r="329" spans="1:4" x14ac:dyDescent="0.3">
      <c r="A329" s="7" t="s">
        <v>275</v>
      </c>
      <c r="B329" t="s">
        <v>274</v>
      </c>
      <c r="C329" t="s">
        <v>249</v>
      </c>
      <c r="D329" s="4" t="s">
        <v>515</v>
      </c>
    </row>
    <row r="330" spans="1:4" x14ac:dyDescent="0.3">
      <c r="A330" s="7" t="s">
        <v>253</v>
      </c>
      <c r="B330" t="s">
        <v>255</v>
      </c>
      <c r="C330" t="s">
        <v>249</v>
      </c>
      <c r="D330" s="4" t="s">
        <v>515</v>
      </c>
    </row>
    <row r="331" spans="1:4" x14ac:dyDescent="0.3">
      <c r="A331" s="7" t="s">
        <v>260</v>
      </c>
      <c r="B331" t="s">
        <v>258</v>
      </c>
      <c r="C331" t="s">
        <v>249</v>
      </c>
      <c r="D331" s="4" t="s">
        <v>515</v>
      </c>
    </row>
    <row r="332" spans="1:4" x14ac:dyDescent="0.3">
      <c r="A332" s="7" t="s">
        <v>251</v>
      </c>
      <c r="B332" t="s">
        <v>248</v>
      </c>
      <c r="C332" t="s">
        <v>249</v>
      </c>
      <c r="D332" s="4" t="s">
        <v>515</v>
      </c>
    </row>
    <row r="333" spans="1:4" x14ac:dyDescent="0.3">
      <c r="A333" s="7" t="s">
        <v>250</v>
      </c>
      <c r="B333" t="s">
        <v>257</v>
      </c>
      <c r="C333" t="s">
        <v>249</v>
      </c>
      <c r="D333" s="4" t="s">
        <v>515</v>
      </c>
    </row>
    <row r="334" spans="1:4" x14ac:dyDescent="0.3">
      <c r="A334" s="7" t="s">
        <v>252</v>
      </c>
      <c r="B334" t="s">
        <v>256</v>
      </c>
      <c r="C334" t="s">
        <v>249</v>
      </c>
      <c r="D334" s="4" t="s">
        <v>515</v>
      </c>
    </row>
    <row r="335" spans="1:4" x14ac:dyDescent="0.3">
      <c r="A335" s="7" t="s">
        <v>262</v>
      </c>
      <c r="B335" t="s">
        <v>263</v>
      </c>
      <c r="C335" t="s">
        <v>249</v>
      </c>
      <c r="D335" s="4" t="s">
        <v>515</v>
      </c>
    </row>
    <row r="336" spans="1:4" x14ac:dyDescent="0.3">
      <c r="A336" s="7" t="s">
        <v>289</v>
      </c>
      <c r="B336" t="s">
        <v>290</v>
      </c>
      <c r="C336" t="s">
        <v>249</v>
      </c>
      <c r="D336" s="4" t="s">
        <v>515</v>
      </c>
    </row>
    <row r="337" spans="1:4" x14ac:dyDescent="0.3">
      <c r="A337" s="7" t="s">
        <v>250</v>
      </c>
      <c r="B337" t="s">
        <v>257</v>
      </c>
      <c r="C337" t="s">
        <v>249</v>
      </c>
      <c r="D337" t="s">
        <v>516</v>
      </c>
    </row>
    <row r="338" spans="1:4" x14ac:dyDescent="0.3">
      <c r="A338" s="7" t="s">
        <v>251</v>
      </c>
      <c r="B338" t="s">
        <v>248</v>
      </c>
      <c r="C338" t="s">
        <v>249</v>
      </c>
      <c r="D338" t="s">
        <v>516</v>
      </c>
    </row>
    <row r="339" spans="1:4" x14ac:dyDescent="0.3">
      <c r="A339" s="7" t="s">
        <v>252</v>
      </c>
      <c r="B339" t="s">
        <v>256</v>
      </c>
      <c r="C339" t="s">
        <v>249</v>
      </c>
      <c r="D339" t="s">
        <v>516</v>
      </c>
    </row>
    <row r="340" spans="1:4" x14ac:dyDescent="0.3">
      <c r="A340" s="7" t="s">
        <v>253</v>
      </c>
      <c r="B340" t="s">
        <v>255</v>
      </c>
      <c r="C340" t="s">
        <v>249</v>
      </c>
      <c r="D340" t="s">
        <v>516</v>
      </c>
    </row>
    <row r="341" spans="1:4" x14ac:dyDescent="0.3">
      <c r="A341" s="7" t="s">
        <v>262</v>
      </c>
      <c r="B341" t="s">
        <v>263</v>
      </c>
      <c r="C341" t="s">
        <v>249</v>
      </c>
      <c r="D341" t="s">
        <v>516</v>
      </c>
    </row>
  </sheetData>
  <autoFilter ref="A1:D332" xr:uid="{62C22DC1-AB66-4F3F-BA05-AE3D46B8EF97}">
    <sortState xmlns:xlrd2="http://schemas.microsoft.com/office/spreadsheetml/2017/richdata2" ref="A2:D332">
      <sortCondition ref="D1:D332"/>
    </sortState>
  </autoFilter>
  <phoneticPr fontId="2" type="noConversion"/>
  <dataValidations count="1">
    <dataValidation type="list" allowBlank="1" showInputMessage="1" showErrorMessage="1" sqref="M7 O10" xr:uid="{0C64F18B-F69C-4F4E-BB95-EB915BDEC505}">
      <formula1>$B:$B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5615-225D-4BF3-80CF-5BCC66EC4C51}">
  <dimension ref="A1:ER12"/>
  <sheetViews>
    <sheetView topLeftCell="DJ1" workbookViewId="0">
      <selection activeCell="DN20" sqref="DN20"/>
    </sheetView>
  </sheetViews>
  <sheetFormatPr baseColWidth="10" defaultColWidth="14.88671875" defaultRowHeight="14.4" x14ac:dyDescent="0.3"/>
  <cols>
    <col min="1" max="1" width="11.5546875" customWidth="1"/>
    <col min="2" max="2" width="12.88671875" customWidth="1"/>
    <col min="3" max="3" width="15.33203125" customWidth="1"/>
    <col min="4" max="4" width="15.44140625" customWidth="1"/>
    <col min="5" max="5" width="13.88671875" customWidth="1"/>
    <col min="6" max="6" width="16.33203125" customWidth="1"/>
    <col min="7" max="7" width="16.44140625" customWidth="1"/>
    <col min="8" max="8" width="13.88671875" customWidth="1"/>
    <col min="9" max="9" width="16.33203125" customWidth="1"/>
    <col min="10" max="10" width="16.44140625" customWidth="1"/>
    <col min="11" max="11" width="13.88671875" customWidth="1"/>
    <col min="12" max="12" width="16.33203125" customWidth="1"/>
    <col min="13" max="13" width="17.44140625" customWidth="1"/>
    <col min="14" max="14" width="14.88671875" customWidth="1"/>
    <col min="15" max="15" width="17.33203125" customWidth="1"/>
    <col min="16" max="16" width="17.44140625" customWidth="1"/>
    <col min="17" max="17" width="14.88671875" customWidth="1"/>
    <col min="18" max="18" width="17.33203125" customWidth="1"/>
    <col min="19" max="19" width="17.44140625" customWidth="1"/>
    <col min="20" max="20" width="14.88671875" customWidth="1"/>
    <col min="21" max="21" width="17.33203125" customWidth="1"/>
    <col min="22" max="22" width="17.44140625" customWidth="1"/>
    <col min="23" max="23" width="14.88671875" customWidth="1"/>
    <col min="24" max="24" width="17.33203125" customWidth="1"/>
    <col min="25" max="25" width="17.44140625" customWidth="1"/>
    <col min="26" max="26" width="14.88671875" customWidth="1"/>
    <col min="27" max="27" width="17.33203125" customWidth="1"/>
    <col min="28" max="28" width="17.44140625" customWidth="1"/>
    <col min="29" max="29" width="14.88671875" customWidth="1"/>
    <col min="30" max="30" width="17.33203125" customWidth="1"/>
    <col min="31" max="31" width="17.44140625" customWidth="1"/>
    <col min="32" max="32" width="14.88671875" customWidth="1"/>
    <col min="33" max="33" width="17.33203125" customWidth="1"/>
    <col min="34" max="34" width="17.44140625" customWidth="1"/>
    <col min="35" max="35" width="14.88671875" customWidth="1"/>
    <col min="36" max="36" width="17.33203125" customWidth="1"/>
    <col min="37" max="37" width="17.44140625" customWidth="1"/>
    <col min="38" max="38" width="14.88671875" customWidth="1"/>
    <col min="39" max="39" width="17.33203125" customWidth="1"/>
    <col min="40" max="40" width="17.44140625" customWidth="1"/>
    <col min="41" max="41" width="14.88671875" customWidth="1"/>
    <col min="42" max="42" width="17.33203125" customWidth="1"/>
    <col min="43" max="43" width="17.44140625" customWidth="1"/>
    <col min="44" max="44" width="14.88671875" customWidth="1"/>
    <col min="45" max="45" width="17.33203125" customWidth="1"/>
    <col min="46" max="46" width="17.44140625" customWidth="1"/>
    <col min="47" max="47" width="14.88671875" customWidth="1"/>
    <col min="48" max="48" width="17.33203125" customWidth="1"/>
    <col min="49" max="49" width="17.44140625" customWidth="1"/>
    <col min="50" max="50" width="14.88671875" customWidth="1"/>
    <col min="51" max="51" width="17.33203125" customWidth="1"/>
    <col min="52" max="52" width="17.44140625" customWidth="1"/>
    <col min="53" max="53" width="14.88671875" customWidth="1"/>
    <col min="54" max="54" width="17.33203125" customWidth="1"/>
    <col min="55" max="55" width="17.44140625" customWidth="1"/>
    <col min="56" max="56" width="14.88671875" customWidth="1"/>
    <col min="57" max="57" width="17.33203125" customWidth="1"/>
    <col min="58" max="58" width="17.44140625" customWidth="1"/>
    <col min="59" max="59" width="14.88671875" customWidth="1"/>
    <col min="60" max="60" width="17.33203125" customWidth="1"/>
    <col min="61" max="61" width="17.44140625" customWidth="1"/>
    <col min="62" max="62" width="14.88671875" customWidth="1"/>
    <col min="63" max="63" width="17.33203125" customWidth="1"/>
    <col min="64" max="64" width="17.44140625" customWidth="1"/>
    <col min="65" max="65" width="14.88671875" customWidth="1"/>
    <col min="66" max="66" width="17.33203125" customWidth="1"/>
    <col min="67" max="67" width="17.44140625" customWidth="1"/>
    <col min="68" max="68" width="14.88671875" customWidth="1"/>
    <col min="69" max="69" width="17.33203125" customWidth="1"/>
    <col min="70" max="70" width="17.44140625" customWidth="1"/>
    <col min="71" max="71" width="14.88671875" customWidth="1"/>
    <col min="72" max="72" width="17.33203125" customWidth="1"/>
    <col min="73" max="73" width="17.44140625" customWidth="1"/>
    <col min="74" max="74" width="14.88671875" customWidth="1"/>
    <col min="75" max="75" width="17.33203125" customWidth="1"/>
    <col min="76" max="76" width="17.44140625" customWidth="1"/>
    <col min="77" max="77" width="14.88671875" customWidth="1"/>
    <col min="78" max="78" width="17.33203125" customWidth="1"/>
    <col min="79" max="79" width="17.44140625" customWidth="1"/>
    <col min="80" max="80" width="14.88671875" customWidth="1"/>
    <col min="81" max="81" width="17.33203125" customWidth="1"/>
    <col min="82" max="82" width="17.44140625" customWidth="1"/>
    <col min="83" max="83" width="14.88671875" customWidth="1"/>
    <col min="84" max="84" width="17.33203125" customWidth="1"/>
    <col min="85" max="85" width="17.44140625" customWidth="1"/>
    <col min="86" max="86" width="14.88671875" customWidth="1"/>
    <col min="87" max="87" width="17.33203125" customWidth="1"/>
    <col min="88" max="88" width="17.44140625" customWidth="1"/>
    <col min="89" max="89" width="14.88671875" customWidth="1"/>
    <col min="90" max="90" width="17.33203125" customWidth="1"/>
    <col min="91" max="91" width="17.44140625" customWidth="1"/>
    <col min="92" max="92" width="14.88671875" customWidth="1"/>
    <col min="93" max="93" width="17.33203125" customWidth="1"/>
    <col min="94" max="94" width="17.44140625" customWidth="1"/>
    <col min="95" max="95" width="14.88671875" customWidth="1"/>
    <col min="96" max="96" width="17.33203125" customWidth="1"/>
    <col min="97" max="97" width="17.44140625" customWidth="1"/>
    <col min="98" max="98" width="14.88671875" customWidth="1"/>
    <col min="99" max="99" width="17.33203125" customWidth="1"/>
    <col min="100" max="100" width="17.44140625" customWidth="1"/>
    <col min="101" max="101" width="14.88671875" customWidth="1"/>
    <col min="102" max="102" width="17.33203125" customWidth="1"/>
    <col min="103" max="103" width="18.44140625" customWidth="1"/>
    <col min="104" max="104" width="15.88671875" customWidth="1"/>
    <col min="105" max="105" width="18.33203125" customWidth="1"/>
    <col min="106" max="106" width="18.44140625" customWidth="1"/>
    <col min="107" max="107" width="15.88671875" customWidth="1"/>
    <col min="108" max="108" width="18.33203125" customWidth="1"/>
    <col min="109" max="109" width="18.44140625" customWidth="1"/>
    <col min="110" max="110" width="15.88671875" customWidth="1"/>
    <col min="111" max="111" width="18.33203125" customWidth="1"/>
    <col min="112" max="112" width="18.44140625" customWidth="1"/>
    <col min="113" max="113" width="15.88671875" customWidth="1"/>
    <col min="114" max="114" width="18.33203125" customWidth="1"/>
    <col min="115" max="115" width="18.44140625" customWidth="1"/>
    <col min="116" max="116" width="15.88671875" customWidth="1"/>
    <col min="117" max="117" width="18.33203125" customWidth="1"/>
    <col min="118" max="118" width="18.44140625" customWidth="1"/>
    <col min="119" max="119" width="15.88671875" customWidth="1"/>
    <col min="120" max="120" width="18.33203125" customWidth="1"/>
    <col min="121" max="121" width="18.44140625" customWidth="1"/>
    <col min="122" max="122" width="15.88671875" customWidth="1"/>
    <col min="123" max="123" width="18.33203125" customWidth="1"/>
    <col min="124" max="124" width="18.44140625" customWidth="1"/>
    <col min="125" max="125" width="15.88671875" customWidth="1"/>
    <col min="126" max="126" width="18.33203125" customWidth="1"/>
    <col min="127" max="127" width="18.44140625" customWidth="1"/>
    <col min="128" max="128" width="15.88671875" customWidth="1"/>
    <col min="129" max="129" width="18.33203125" customWidth="1"/>
    <col min="130" max="130" width="18.44140625" customWidth="1"/>
    <col min="131" max="131" width="15.88671875" customWidth="1"/>
    <col min="132" max="132" width="18.33203125" customWidth="1"/>
    <col min="133" max="133" width="18.44140625" customWidth="1"/>
    <col min="134" max="134" width="15.88671875" customWidth="1"/>
    <col min="135" max="135" width="18.33203125" customWidth="1"/>
    <col min="136" max="136" width="18.44140625" customWidth="1"/>
    <col min="137" max="137" width="15.88671875" customWidth="1"/>
    <col min="138" max="138" width="18.33203125" customWidth="1"/>
    <col min="139" max="139" width="18.44140625" customWidth="1"/>
    <col min="140" max="140" width="15.88671875" customWidth="1"/>
    <col min="141" max="141" width="18.33203125" customWidth="1"/>
    <col min="142" max="142" width="18.44140625" customWidth="1"/>
    <col min="143" max="143" width="15.88671875" customWidth="1"/>
    <col min="144" max="144" width="18.33203125" customWidth="1"/>
    <col min="145" max="145" width="18.44140625" customWidth="1"/>
    <col min="146" max="146" width="15.88671875" customWidth="1"/>
    <col min="147" max="147" width="18.33203125" customWidth="1"/>
    <col min="148" max="148" width="18.44140625" customWidth="1"/>
    <col min="149" max="149" width="14.88671875" customWidth="1"/>
  </cols>
  <sheetData>
    <row r="1" spans="1:148" x14ac:dyDescent="0.3">
      <c r="A1" t="s">
        <v>341</v>
      </c>
      <c r="B1" s="24" t="s">
        <v>316</v>
      </c>
      <c r="C1" s="24" t="s">
        <v>317</v>
      </c>
      <c r="D1" s="24" t="s">
        <v>359</v>
      </c>
      <c r="E1" s="24" t="s">
        <v>360</v>
      </c>
      <c r="F1" s="24" t="s">
        <v>361</v>
      </c>
      <c r="G1" s="24" t="s">
        <v>362</v>
      </c>
      <c r="H1" s="24" t="s">
        <v>363</v>
      </c>
      <c r="I1" s="24" t="s">
        <v>364</v>
      </c>
      <c r="J1" s="24" t="s">
        <v>365</v>
      </c>
      <c r="K1" s="24" t="s">
        <v>366</v>
      </c>
      <c r="L1" s="24" t="s">
        <v>367</v>
      </c>
      <c r="M1" s="24" t="s">
        <v>368</v>
      </c>
      <c r="N1" s="24" t="s">
        <v>369</v>
      </c>
      <c r="O1" s="24" t="s">
        <v>370</v>
      </c>
      <c r="P1" s="24" t="s">
        <v>371</v>
      </c>
      <c r="Q1" s="24" t="s">
        <v>372</v>
      </c>
      <c r="R1" s="24" t="s">
        <v>373</v>
      </c>
      <c r="S1" s="24" t="s">
        <v>374</v>
      </c>
      <c r="T1" s="24" t="s">
        <v>375</v>
      </c>
      <c r="U1" s="24" t="s">
        <v>376</v>
      </c>
      <c r="V1" s="24" t="s">
        <v>377</v>
      </c>
      <c r="W1" s="24" t="s">
        <v>378</v>
      </c>
      <c r="X1" s="24" t="s">
        <v>379</v>
      </c>
      <c r="Y1" s="24" t="s">
        <v>380</v>
      </c>
      <c r="Z1" s="24" t="s">
        <v>381</v>
      </c>
      <c r="AA1" s="24" t="s">
        <v>382</v>
      </c>
      <c r="AB1" s="24" t="s">
        <v>383</v>
      </c>
      <c r="AC1" s="24" t="s">
        <v>384</v>
      </c>
      <c r="AD1" s="24" t="s">
        <v>385</v>
      </c>
      <c r="AE1" s="24" t="s">
        <v>386</v>
      </c>
      <c r="AF1" s="24" t="s">
        <v>387</v>
      </c>
      <c r="AG1" s="24" t="s">
        <v>388</v>
      </c>
      <c r="AH1" s="24" t="s">
        <v>389</v>
      </c>
      <c r="AI1" s="24" t="s">
        <v>390</v>
      </c>
      <c r="AJ1" s="24" t="s">
        <v>391</v>
      </c>
      <c r="AK1" s="24" t="s">
        <v>392</v>
      </c>
      <c r="AL1" s="24" t="s">
        <v>393</v>
      </c>
      <c r="AM1" s="24" t="s">
        <v>394</v>
      </c>
      <c r="AN1" s="24" t="s">
        <v>395</v>
      </c>
      <c r="AO1" s="24" t="s">
        <v>396</v>
      </c>
      <c r="AP1" s="24" t="s">
        <v>397</v>
      </c>
      <c r="AQ1" s="24" t="s">
        <v>398</v>
      </c>
      <c r="AR1" s="24" t="s">
        <v>399</v>
      </c>
      <c r="AS1" s="24" t="s">
        <v>400</v>
      </c>
      <c r="AT1" s="24" t="s">
        <v>401</v>
      </c>
      <c r="AU1" s="24" t="s">
        <v>402</v>
      </c>
      <c r="AV1" s="24" t="s">
        <v>403</v>
      </c>
      <c r="AW1" s="24" t="s">
        <v>404</v>
      </c>
      <c r="AX1" s="24" t="s">
        <v>405</v>
      </c>
      <c r="AY1" s="24" t="s">
        <v>406</v>
      </c>
      <c r="AZ1" s="24" t="s">
        <v>407</v>
      </c>
      <c r="BA1" s="24" t="s">
        <v>408</v>
      </c>
      <c r="BB1" s="24" t="s">
        <v>409</v>
      </c>
      <c r="BC1" s="24" t="s">
        <v>410</v>
      </c>
      <c r="BD1" s="24" t="s">
        <v>411</v>
      </c>
      <c r="BE1" s="24" t="s">
        <v>412</v>
      </c>
      <c r="BF1" s="24" t="s">
        <v>413</v>
      </c>
      <c r="BG1" s="24" t="s">
        <v>414</v>
      </c>
      <c r="BH1" s="24" t="s">
        <v>415</v>
      </c>
      <c r="BI1" s="24" t="s">
        <v>416</v>
      </c>
      <c r="BJ1" s="24" t="s">
        <v>417</v>
      </c>
      <c r="BK1" s="24" t="s">
        <v>418</v>
      </c>
      <c r="BL1" s="24" t="s">
        <v>419</v>
      </c>
      <c r="BM1" s="24" t="s">
        <v>420</v>
      </c>
      <c r="BN1" s="24" t="s">
        <v>421</v>
      </c>
      <c r="BO1" s="24" t="s">
        <v>422</v>
      </c>
      <c r="BP1" s="24" t="s">
        <v>423</v>
      </c>
      <c r="BQ1" s="24" t="s">
        <v>424</v>
      </c>
      <c r="BR1" s="24" t="s">
        <v>425</v>
      </c>
      <c r="BS1" s="24" t="s">
        <v>426</v>
      </c>
      <c r="BT1" s="24" t="s">
        <v>427</v>
      </c>
      <c r="BU1" s="24" t="s">
        <v>428</v>
      </c>
      <c r="BV1" s="24" t="s">
        <v>429</v>
      </c>
      <c r="BW1" s="24" t="s">
        <v>430</v>
      </c>
      <c r="BX1" s="24" t="s">
        <v>431</v>
      </c>
      <c r="BY1" s="24" t="s">
        <v>432</v>
      </c>
      <c r="BZ1" s="24" t="s">
        <v>433</v>
      </c>
      <c r="CA1" s="24" t="s">
        <v>434</v>
      </c>
      <c r="CB1" s="24" t="s">
        <v>435</v>
      </c>
      <c r="CC1" s="24" t="s">
        <v>436</v>
      </c>
      <c r="CD1" s="24" t="s">
        <v>437</v>
      </c>
      <c r="CE1" s="24" t="s">
        <v>438</v>
      </c>
      <c r="CF1" s="24" t="s">
        <v>439</v>
      </c>
      <c r="CG1" s="24" t="s">
        <v>440</v>
      </c>
      <c r="CH1" s="24" t="s">
        <v>441</v>
      </c>
      <c r="CI1" s="24" t="s">
        <v>442</v>
      </c>
      <c r="CJ1" s="24" t="s">
        <v>443</v>
      </c>
      <c r="CK1" s="24" t="s">
        <v>444</v>
      </c>
      <c r="CL1" s="24" t="s">
        <v>445</v>
      </c>
      <c r="CM1" s="24" t="s">
        <v>446</v>
      </c>
      <c r="CN1" s="24" t="s">
        <v>447</v>
      </c>
      <c r="CO1" s="24" t="s">
        <v>448</v>
      </c>
      <c r="CP1" s="24" t="s">
        <v>449</v>
      </c>
      <c r="CQ1" s="24" t="s">
        <v>450</v>
      </c>
      <c r="CR1" s="24" t="s">
        <v>451</v>
      </c>
      <c r="CS1" s="24" t="s">
        <v>452</v>
      </c>
      <c r="CT1" s="24" t="s">
        <v>453</v>
      </c>
      <c r="CU1" s="24" t="s">
        <v>454</v>
      </c>
      <c r="CV1" s="24" t="s">
        <v>455</v>
      </c>
      <c r="CW1" s="24" t="s">
        <v>456</v>
      </c>
      <c r="CX1" s="24" t="s">
        <v>457</v>
      </c>
      <c r="CY1" s="24" t="s">
        <v>458</v>
      </c>
      <c r="CZ1" s="24" t="s">
        <v>459</v>
      </c>
      <c r="DA1" s="24" t="s">
        <v>460</v>
      </c>
      <c r="DB1" s="24" t="s">
        <v>461</v>
      </c>
      <c r="DC1" s="24" t="s">
        <v>462</v>
      </c>
      <c r="DD1" s="24" t="s">
        <v>463</v>
      </c>
      <c r="DE1" s="24" t="s">
        <v>464</v>
      </c>
      <c r="DF1" s="24" t="s">
        <v>465</v>
      </c>
      <c r="DG1" s="24" t="s">
        <v>466</v>
      </c>
      <c r="DH1" s="24" t="s">
        <v>467</v>
      </c>
      <c r="DI1" s="24" t="s">
        <v>468</v>
      </c>
      <c r="DJ1" s="24" t="s">
        <v>469</v>
      </c>
      <c r="DK1" s="24" t="s">
        <v>470</v>
      </c>
      <c r="DL1" s="24" t="s">
        <v>471</v>
      </c>
      <c r="DM1" s="24" t="s">
        <v>472</v>
      </c>
      <c r="DN1" s="24" t="s">
        <v>473</v>
      </c>
      <c r="DO1" s="24" t="s">
        <v>474</v>
      </c>
      <c r="DP1" s="24" t="s">
        <v>475</v>
      </c>
      <c r="DQ1" s="24" t="s">
        <v>476</v>
      </c>
      <c r="DR1" s="24" t="s">
        <v>477</v>
      </c>
      <c r="DS1" s="24" t="s">
        <v>478</v>
      </c>
      <c r="DT1" s="24" t="s">
        <v>479</v>
      </c>
      <c r="DU1" s="24" t="s">
        <v>480</v>
      </c>
      <c r="DV1" s="24" t="s">
        <v>481</v>
      </c>
      <c r="DW1" s="24" t="s">
        <v>482</v>
      </c>
      <c r="DX1" s="24" t="s">
        <v>483</v>
      </c>
      <c r="DY1" s="24" t="s">
        <v>484</v>
      </c>
      <c r="DZ1" s="24" t="s">
        <v>485</v>
      </c>
      <c r="EA1" s="24" t="s">
        <v>486</v>
      </c>
      <c r="EB1" s="24" t="s">
        <v>487</v>
      </c>
      <c r="EC1" s="24" t="s">
        <v>488</v>
      </c>
      <c r="ED1" s="24" t="s">
        <v>489</v>
      </c>
      <c r="EE1" s="24" t="s">
        <v>490</v>
      </c>
      <c r="EF1" s="24" t="s">
        <v>491</v>
      </c>
      <c r="EG1" s="24" t="s">
        <v>492</v>
      </c>
      <c r="EH1" s="24" t="s">
        <v>493</v>
      </c>
      <c r="EI1" s="24" t="s">
        <v>494</v>
      </c>
      <c r="EJ1" s="24" t="s">
        <v>495</v>
      </c>
      <c r="EK1" s="24" t="s">
        <v>496</v>
      </c>
      <c r="EL1" s="24" t="s">
        <v>497</v>
      </c>
      <c r="EM1" s="24" t="s">
        <v>498</v>
      </c>
      <c r="EN1" s="24" t="s">
        <v>499</v>
      </c>
      <c r="EO1" s="24" t="s">
        <v>500</v>
      </c>
      <c r="EP1" s="24" t="s">
        <v>501</v>
      </c>
      <c r="EQ1" s="24" t="s">
        <v>502</v>
      </c>
      <c r="ER1" s="24" t="s">
        <v>503</v>
      </c>
    </row>
    <row r="2" spans="1:148" x14ac:dyDescent="0.3">
      <c r="A2" t="s">
        <v>14</v>
      </c>
      <c r="B2" s="4" t="s">
        <v>53</v>
      </c>
      <c r="C2" s="4" t="s">
        <v>53</v>
      </c>
      <c r="D2" s="4" t="s">
        <v>53</v>
      </c>
      <c r="E2" t="s">
        <v>0</v>
      </c>
      <c r="F2" t="s">
        <v>0</v>
      </c>
      <c r="G2" t="s">
        <v>0</v>
      </c>
      <c r="H2" s="4" t="s">
        <v>68</v>
      </c>
      <c r="I2" s="4" t="s">
        <v>68</v>
      </c>
      <c r="J2" s="4" t="s">
        <v>68</v>
      </c>
      <c r="K2" t="s">
        <v>72</v>
      </c>
      <c r="L2" t="s">
        <v>72</v>
      </c>
      <c r="M2" t="s">
        <v>72</v>
      </c>
      <c r="N2" s="4" t="s">
        <v>16</v>
      </c>
      <c r="O2" s="4" t="s">
        <v>16</v>
      </c>
      <c r="P2" s="4" t="s">
        <v>16</v>
      </c>
      <c r="Q2" t="s">
        <v>76</v>
      </c>
      <c r="R2" t="s">
        <v>76</v>
      </c>
      <c r="S2" t="s">
        <v>76</v>
      </c>
      <c r="T2" s="4" t="s">
        <v>80</v>
      </c>
      <c r="U2" s="4" t="s">
        <v>80</v>
      </c>
      <c r="V2" s="4" t="s">
        <v>80</v>
      </c>
      <c r="W2" t="s">
        <v>84</v>
      </c>
      <c r="X2" t="s">
        <v>84</v>
      </c>
      <c r="Y2" t="s">
        <v>84</v>
      </c>
      <c r="Z2" s="4" t="s">
        <v>88</v>
      </c>
      <c r="AA2" s="4" t="s">
        <v>88</v>
      </c>
      <c r="AB2" s="4" t="s">
        <v>88</v>
      </c>
      <c r="AC2" t="s">
        <v>92</v>
      </c>
      <c r="AD2" t="s">
        <v>92</v>
      </c>
      <c r="AE2" t="s">
        <v>92</v>
      </c>
      <c r="AF2" s="4" t="s">
        <v>20</v>
      </c>
      <c r="AG2" s="4" t="s">
        <v>20</v>
      </c>
      <c r="AH2" s="4" t="s">
        <v>20</v>
      </c>
      <c r="AI2" t="s">
        <v>95</v>
      </c>
      <c r="AJ2" t="s">
        <v>95</v>
      </c>
      <c r="AK2" t="s">
        <v>95</v>
      </c>
      <c r="AL2" s="4" t="s">
        <v>101</v>
      </c>
      <c r="AM2" s="4" t="s">
        <v>101</v>
      </c>
      <c r="AN2" s="4" t="s">
        <v>101</v>
      </c>
      <c r="AO2" t="s">
        <v>105</v>
      </c>
      <c r="AP2" t="s">
        <v>105</v>
      </c>
      <c r="AQ2" t="s">
        <v>105</v>
      </c>
      <c r="AR2" s="4" t="s">
        <v>27</v>
      </c>
      <c r="AS2" s="4" t="s">
        <v>27</v>
      </c>
      <c r="AT2" s="4" t="s">
        <v>27</v>
      </c>
      <c r="AU2" t="s">
        <v>109</v>
      </c>
      <c r="AV2" t="s">
        <v>109</v>
      </c>
      <c r="AW2" t="s">
        <v>109</v>
      </c>
      <c r="AX2" s="4" t="s">
        <v>114</v>
      </c>
      <c r="AY2" s="4" t="s">
        <v>114</v>
      </c>
      <c r="AZ2" s="4" t="s">
        <v>114</v>
      </c>
      <c r="BA2" t="s">
        <v>119</v>
      </c>
      <c r="BB2" t="s">
        <v>119</v>
      </c>
      <c r="BC2" t="s">
        <v>119</v>
      </c>
      <c r="BD2" s="4" t="s">
        <v>124</v>
      </c>
      <c r="BE2" s="4" t="s">
        <v>124</v>
      </c>
      <c r="BF2" s="4" t="s">
        <v>124</v>
      </c>
      <c r="BG2" t="s">
        <v>128</v>
      </c>
      <c r="BH2" t="s">
        <v>128</v>
      </c>
      <c r="BI2" t="s">
        <v>128</v>
      </c>
      <c r="BJ2" s="4" t="s">
        <v>132</v>
      </c>
      <c r="BK2" s="4" t="s">
        <v>132</v>
      </c>
      <c r="BL2" s="4" t="s">
        <v>132</v>
      </c>
      <c r="BM2" t="s">
        <v>138</v>
      </c>
      <c r="BN2" t="s">
        <v>138</v>
      </c>
      <c r="BO2" t="s">
        <v>138</v>
      </c>
      <c r="BP2" s="4" t="s">
        <v>141</v>
      </c>
      <c r="BQ2" s="4" t="s">
        <v>141</v>
      </c>
      <c r="BR2" s="4" t="s">
        <v>141</v>
      </c>
      <c r="BS2" t="s">
        <v>146</v>
      </c>
      <c r="BT2" t="s">
        <v>146</v>
      </c>
      <c r="BU2" t="s">
        <v>146</v>
      </c>
      <c r="BV2" s="4" t="s">
        <v>150</v>
      </c>
      <c r="BW2" s="4" t="s">
        <v>150</v>
      </c>
      <c r="BX2" s="4" t="s">
        <v>150</v>
      </c>
      <c r="BY2" t="s">
        <v>28</v>
      </c>
      <c r="BZ2" t="s">
        <v>28</v>
      </c>
      <c r="CA2" t="s">
        <v>28</v>
      </c>
      <c r="CB2" s="4" t="s">
        <v>154</v>
      </c>
      <c r="CC2" s="4" t="s">
        <v>154</v>
      </c>
      <c r="CD2" s="4" t="s">
        <v>154</v>
      </c>
      <c r="CE2" t="s">
        <v>158</v>
      </c>
      <c r="CF2" t="s">
        <v>158</v>
      </c>
      <c r="CG2" t="s">
        <v>158</v>
      </c>
      <c r="CH2" s="4" t="s">
        <v>163</v>
      </c>
      <c r="CI2" s="4" t="s">
        <v>163</v>
      </c>
      <c r="CJ2" s="4" t="s">
        <v>163</v>
      </c>
      <c r="CK2" t="s">
        <v>164</v>
      </c>
      <c r="CL2" t="s">
        <v>164</v>
      </c>
      <c r="CM2" t="s">
        <v>164</v>
      </c>
      <c r="CN2" s="4" t="s">
        <v>165</v>
      </c>
      <c r="CO2" s="4" t="s">
        <v>165</v>
      </c>
      <c r="CP2" s="4" t="s">
        <v>165</v>
      </c>
      <c r="CQ2" t="s">
        <v>36</v>
      </c>
      <c r="CR2" t="s">
        <v>36</v>
      </c>
      <c r="CS2" t="s">
        <v>36</v>
      </c>
      <c r="CT2" s="4" t="s">
        <v>166</v>
      </c>
      <c r="CU2" s="4" t="s">
        <v>166</v>
      </c>
      <c r="CV2" s="4" t="s">
        <v>166</v>
      </c>
      <c r="CW2" t="s">
        <v>167</v>
      </c>
      <c r="CX2" t="s">
        <v>167</v>
      </c>
      <c r="CY2" t="s">
        <v>167</v>
      </c>
      <c r="CZ2" s="4" t="s">
        <v>171</v>
      </c>
      <c r="DA2" s="4" t="s">
        <v>171</v>
      </c>
      <c r="DB2" s="4" t="s">
        <v>171</v>
      </c>
      <c r="DC2" t="s">
        <v>186</v>
      </c>
      <c r="DD2" t="s">
        <v>186</v>
      </c>
      <c r="DE2" t="s">
        <v>186</v>
      </c>
      <c r="DF2" s="4" t="s">
        <v>187</v>
      </c>
      <c r="DG2" s="4" t="s">
        <v>187</v>
      </c>
      <c r="DH2" s="4" t="s">
        <v>187</v>
      </c>
      <c r="DI2" t="s">
        <v>195</v>
      </c>
      <c r="DJ2" t="s">
        <v>195</v>
      </c>
      <c r="DK2" t="s">
        <v>195</v>
      </c>
      <c r="DL2" s="4" t="s">
        <v>199</v>
      </c>
      <c r="DM2" s="4" t="s">
        <v>199</v>
      </c>
      <c r="DN2" s="4" t="s">
        <v>199</v>
      </c>
      <c r="DO2" t="s">
        <v>32</v>
      </c>
      <c r="DP2" t="s">
        <v>32</v>
      </c>
      <c r="DQ2" t="s">
        <v>32</v>
      </c>
      <c r="DR2" s="4" t="s">
        <v>203</v>
      </c>
      <c r="DS2" s="4" t="s">
        <v>203</v>
      </c>
      <c r="DT2" s="4" t="s">
        <v>203</v>
      </c>
      <c r="DU2" t="s">
        <v>40</v>
      </c>
      <c r="DV2" t="s">
        <v>40</v>
      </c>
      <c r="DW2" t="s">
        <v>40</v>
      </c>
      <c r="DX2" s="4" t="s">
        <v>47</v>
      </c>
      <c r="DY2" s="4" t="s">
        <v>47</v>
      </c>
      <c r="DZ2" s="4" t="s">
        <v>47</v>
      </c>
      <c r="EA2" t="s">
        <v>212</v>
      </c>
      <c r="EB2" t="s">
        <v>212</v>
      </c>
      <c r="EC2" t="s">
        <v>212</v>
      </c>
      <c r="ED2" s="4" t="s">
        <v>213</v>
      </c>
      <c r="EE2" s="4" t="s">
        <v>213</v>
      </c>
      <c r="EF2" s="4" t="s">
        <v>213</v>
      </c>
      <c r="EG2" t="s">
        <v>214</v>
      </c>
      <c r="EH2" t="s">
        <v>214</v>
      </c>
      <c r="EI2" t="s">
        <v>214</v>
      </c>
      <c r="EJ2" s="4" t="s">
        <v>43</v>
      </c>
      <c r="EK2" s="4" t="s">
        <v>43</v>
      </c>
      <c r="EL2" s="4" t="s">
        <v>43</v>
      </c>
      <c r="EM2" t="s">
        <v>215</v>
      </c>
      <c r="EN2" t="s">
        <v>215</v>
      </c>
      <c r="EO2" t="s">
        <v>215</v>
      </c>
      <c r="EP2" s="21" t="s">
        <v>216</v>
      </c>
      <c r="EQ2" s="21" t="s">
        <v>216</v>
      </c>
      <c r="ER2" s="21" t="s">
        <v>216</v>
      </c>
    </row>
    <row r="3" spans="1:148" x14ac:dyDescent="0.3">
      <c r="A3" t="s">
        <v>8</v>
      </c>
      <c r="B3" s="22">
        <v>45349</v>
      </c>
      <c r="C3" s="22">
        <v>45349</v>
      </c>
      <c r="D3" s="22">
        <v>45349</v>
      </c>
      <c r="E3" s="1">
        <v>45394</v>
      </c>
      <c r="F3" s="1">
        <v>45394</v>
      </c>
      <c r="G3" s="1">
        <v>45394</v>
      </c>
      <c r="H3" s="22">
        <v>45394</v>
      </c>
      <c r="I3" s="22">
        <v>45394</v>
      </c>
      <c r="J3" s="22">
        <v>45394</v>
      </c>
      <c r="K3" s="1">
        <v>45394</v>
      </c>
      <c r="L3" s="1">
        <v>45394</v>
      </c>
      <c r="M3" s="1">
        <v>45394</v>
      </c>
      <c r="N3" s="22">
        <v>45379</v>
      </c>
      <c r="O3" s="22">
        <v>45379</v>
      </c>
      <c r="P3" s="22">
        <v>45379</v>
      </c>
      <c r="Q3" s="1">
        <v>45379</v>
      </c>
      <c r="R3" s="1">
        <v>45379</v>
      </c>
      <c r="S3" s="1">
        <v>45379</v>
      </c>
      <c r="T3" s="22">
        <v>45379</v>
      </c>
      <c r="U3" s="22">
        <v>45379</v>
      </c>
      <c r="V3" s="22">
        <v>45379</v>
      </c>
      <c r="W3" s="1">
        <v>45379</v>
      </c>
      <c r="X3" s="1">
        <v>45379</v>
      </c>
      <c r="Y3" s="1">
        <v>45379</v>
      </c>
      <c r="Z3" s="22">
        <v>45379</v>
      </c>
      <c r="AA3" s="22">
        <v>45379</v>
      </c>
      <c r="AB3" s="22">
        <v>45379</v>
      </c>
      <c r="AC3" s="1">
        <v>45392</v>
      </c>
      <c r="AD3" s="1">
        <v>45392</v>
      </c>
      <c r="AE3" s="1">
        <v>45392</v>
      </c>
      <c r="AF3" s="22">
        <v>45392</v>
      </c>
      <c r="AG3" s="22">
        <v>45392</v>
      </c>
      <c r="AH3" s="22">
        <v>45392</v>
      </c>
      <c r="AI3" s="1">
        <v>45392</v>
      </c>
      <c r="AJ3" s="1">
        <v>45392</v>
      </c>
      <c r="AK3" s="1">
        <v>45392</v>
      </c>
      <c r="AL3" s="22">
        <v>45392</v>
      </c>
      <c r="AM3" s="22">
        <v>45392</v>
      </c>
      <c r="AN3" s="22">
        <v>45392</v>
      </c>
      <c r="AO3" s="1">
        <v>45378</v>
      </c>
      <c r="AP3" s="1">
        <v>45378</v>
      </c>
      <c r="AQ3" s="1">
        <v>45378</v>
      </c>
      <c r="AR3" s="22">
        <v>45378</v>
      </c>
      <c r="AS3" s="22">
        <v>45378</v>
      </c>
      <c r="AT3" s="22">
        <v>45378</v>
      </c>
      <c r="AU3" s="1">
        <v>45378</v>
      </c>
      <c r="AV3" s="1">
        <v>45378</v>
      </c>
      <c r="AW3" s="1">
        <v>45378</v>
      </c>
      <c r="AX3" s="22">
        <v>45378</v>
      </c>
      <c r="AY3" s="22">
        <v>45378</v>
      </c>
      <c r="AZ3" s="22">
        <v>45378</v>
      </c>
      <c r="BA3" s="1">
        <v>45378</v>
      </c>
      <c r="BB3" s="1">
        <v>45378</v>
      </c>
      <c r="BC3" s="1">
        <v>45378</v>
      </c>
      <c r="BD3" s="22">
        <v>45378</v>
      </c>
      <c r="BE3" s="22">
        <v>45378</v>
      </c>
      <c r="BF3" s="22">
        <v>45378</v>
      </c>
      <c r="BG3" s="1">
        <v>45414</v>
      </c>
      <c r="BH3" s="1">
        <v>45414</v>
      </c>
      <c r="BI3" s="1">
        <v>45414</v>
      </c>
      <c r="BJ3" s="22">
        <v>45378</v>
      </c>
      <c r="BK3" s="22">
        <v>45378</v>
      </c>
      <c r="BL3" s="22">
        <v>45378</v>
      </c>
      <c r="BM3" s="1">
        <v>45414</v>
      </c>
      <c r="BN3" s="1">
        <v>45414</v>
      </c>
      <c r="BO3" s="1">
        <v>45414</v>
      </c>
      <c r="BP3" s="22">
        <v>45378</v>
      </c>
      <c r="BQ3" s="22">
        <v>45378</v>
      </c>
      <c r="BR3" s="22">
        <v>45378</v>
      </c>
      <c r="BS3" s="1">
        <v>45378</v>
      </c>
      <c r="BT3" s="1">
        <v>45378</v>
      </c>
      <c r="BU3" s="1">
        <v>45378</v>
      </c>
      <c r="BV3" s="22">
        <v>45414</v>
      </c>
      <c r="BW3" s="22">
        <v>45414</v>
      </c>
      <c r="BX3" s="22">
        <v>45414</v>
      </c>
      <c r="BY3" s="1">
        <v>45414</v>
      </c>
      <c r="BZ3" s="1">
        <v>45414</v>
      </c>
      <c r="CA3" s="1">
        <v>45414</v>
      </c>
      <c r="CB3" s="22">
        <v>45414</v>
      </c>
      <c r="CC3" s="22">
        <v>45414</v>
      </c>
      <c r="CD3" s="22">
        <v>45414</v>
      </c>
      <c r="CE3" s="1">
        <v>45414</v>
      </c>
      <c r="CF3" s="1">
        <v>45414</v>
      </c>
      <c r="CG3" s="1">
        <v>45414</v>
      </c>
      <c r="CH3" s="22">
        <v>45341</v>
      </c>
      <c r="CI3" s="22">
        <v>45341</v>
      </c>
      <c r="CJ3" s="22">
        <v>45341</v>
      </c>
      <c r="CK3" s="1">
        <v>45341</v>
      </c>
      <c r="CL3" s="1">
        <v>45341</v>
      </c>
      <c r="CM3" s="1">
        <v>45341</v>
      </c>
      <c r="CN3" s="22">
        <v>45341</v>
      </c>
      <c r="CO3" s="22">
        <v>45341</v>
      </c>
      <c r="CP3" s="22">
        <v>45341</v>
      </c>
      <c r="CQ3" s="1">
        <v>45341</v>
      </c>
      <c r="CR3" s="1">
        <v>45341</v>
      </c>
      <c r="CS3" s="1">
        <v>45341</v>
      </c>
      <c r="CT3" s="22">
        <v>45341</v>
      </c>
      <c r="CU3" s="22">
        <v>45341</v>
      </c>
      <c r="CV3" s="22">
        <v>45341</v>
      </c>
      <c r="CW3" s="1">
        <v>45341</v>
      </c>
      <c r="CX3" s="1">
        <v>45341</v>
      </c>
      <c r="CY3" s="1">
        <v>45341</v>
      </c>
      <c r="CZ3" s="22">
        <v>45341</v>
      </c>
      <c r="DA3" s="22">
        <v>45341</v>
      </c>
      <c r="DB3" s="22">
        <v>45341</v>
      </c>
      <c r="DC3" s="1">
        <v>45341</v>
      </c>
      <c r="DD3" s="1">
        <v>45341</v>
      </c>
      <c r="DE3" s="1">
        <v>45341</v>
      </c>
      <c r="DF3" s="22">
        <v>45341</v>
      </c>
      <c r="DG3" s="22">
        <v>45341</v>
      </c>
      <c r="DH3" s="22">
        <v>45341</v>
      </c>
      <c r="DI3" s="1">
        <v>45337</v>
      </c>
      <c r="DJ3" s="1">
        <v>45337</v>
      </c>
      <c r="DK3" s="1">
        <v>45337</v>
      </c>
      <c r="DL3" s="22">
        <v>45337</v>
      </c>
      <c r="DM3" s="22">
        <v>45337</v>
      </c>
      <c r="DN3" s="22">
        <v>45337</v>
      </c>
      <c r="DO3" s="1">
        <v>45337</v>
      </c>
      <c r="DP3" s="1">
        <v>45337</v>
      </c>
      <c r="DQ3" s="1">
        <v>45337</v>
      </c>
      <c r="DR3" s="22">
        <v>45341</v>
      </c>
      <c r="DS3" s="22">
        <v>45341</v>
      </c>
      <c r="DT3" s="22">
        <v>45341</v>
      </c>
      <c r="DU3" s="1">
        <v>45341</v>
      </c>
      <c r="DV3" s="1">
        <v>45341</v>
      </c>
      <c r="DW3" s="1">
        <v>45341</v>
      </c>
      <c r="DX3" s="22">
        <v>45414</v>
      </c>
      <c r="DY3" s="22">
        <v>45414</v>
      </c>
      <c r="DZ3" s="22">
        <v>45414</v>
      </c>
      <c r="EA3" s="1">
        <v>45392</v>
      </c>
      <c r="EB3" s="1">
        <v>45392</v>
      </c>
      <c r="EC3" s="1">
        <v>45392</v>
      </c>
      <c r="ED3" s="22">
        <v>45392</v>
      </c>
      <c r="EE3" s="22">
        <v>45392</v>
      </c>
      <c r="EF3" s="22">
        <v>45392</v>
      </c>
      <c r="EG3" s="1">
        <v>45392</v>
      </c>
      <c r="EH3" s="1">
        <v>45392</v>
      </c>
      <c r="EI3" s="1">
        <v>45392</v>
      </c>
      <c r="EJ3" s="22">
        <v>45392</v>
      </c>
      <c r="EK3" s="22">
        <v>45392</v>
      </c>
      <c r="EL3" s="22">
        <v>45392</v>
      </c>
      <c r="EM3" s="1">
        <v>45392</v>
      </c>
      <c r="EN3" s="1">
        <v>45392</v>
      </c>
      <c r="EO3" s="1">
        <v>45392</v>
      </c>
      <c r="EP3" s="23">
        <v>45392</v>
      </c>
      <c r="EQ3" s="23">
        <v>45392</v>
      </c>
      <c r="ER3" s="23">
        <v>45392</v>
      </c>
    </row>
    <row r="4" spans="1:148" ht="15" thickBot="1" x14ac:dyDescent="0.35">
      <c r="A4" t="s">
        <v>9</v>
      </c>
      <c r="B4" s="22">
        <v>45354</v>
      </c>
      <c r="C4" s="22">
        <v>45354</v>
      </c>
      <c r="D4" s="22">
        <v>45354</v>
      </c>
      <c r="E4" s="1">
        <v>45399</v>
      </c>
      <c r="F4" s="1">
        <v>45399</v>
      </c>
      <c r="G4" s="1">
        <v>45399</v>
      </c>
      <c r="H4" s="22">
        <v>45399</v>
      </c>
      <c r="I4" s="22">
        <v>45399</v>
      </c>
      <c r="J4" s="22">
        <v>45399</v>
      </c>
      <c r="K4" s="1">
        <v>45399</v>
      </c>
      <c r="L4" s="1">
        <v>45399</v>
      </c>
      <c r="M4" s="1">
        <v>45399</v>
      </c>
      <c r="N4" s="22">
        <v>45384</v>
      </c>
      <c r="O4" s="22">
        <v>45384</v>
      </c>
      <c r="P4" s="22">
        <v>45384</v>
      </c>
      <c r="Q4" s="1">
        <v>45384</v>
      </c>
      <c r="R4" s="1">
        <v>45384</v>
      </c>
      <c r="S4" s="1">
        <v>45384</v>
      </c>
      <c r="T4" s="22">
        <v>45384</v>
      </c>
      <c r="U4" s="22">
        <v>45384</v>
      </c>
      <c r="V4" s="22">
        <v>45384</v>
      </c>
      <c r="W4" s="1">
        <v>45384</v>
      </c>
      <c r="X4" s="1">
        <v>45384</v>
      </c>
      <c r="Y4" s="1">
        <v>45384</v>
      </c>
      <c r="Z4" s="22">
        <v>45384</v>
      </c>
      <c r="AA4" s="22">
        <v>45384</v>
      </c>
      <c r="AB4" s="22">
        <v>45384</v>
      </c>
      <c r="AC4" s="1">
        <v>45397</v>
      </c>
      <c r="AD4" s="1">
        <v>45397</v>
      </c>
      <c r="AE4" s="1">
        <v>45397</v>
      </c>
      <c r="AF4" s="22">
        <v>45395</v>
      </c>
      <c r="AG4" s="22">
        <v>45395</v>
      </c>
      <c r="AH4" s="22">
        <v>45395</v>
      </c>
      <c r="AI4" s="1">
        <v>45398</v>
      </c>
      <c r="AJ4" s="1">
        <v>45398</v>
      </c>
      <c r="AK4" s="1">
        <v>45398</v>
      </c>
      <c r="AL4" s="22">
        <v>45395</v>
      </c>
      <c r="AM4" s="22">
        <v>45395</v>
      </c>
      <c r="AN4" s="22">
        <v>45395</v>
      </c>
      <c r="AO4" s="1">
        <v>45383</v>
      </c>
      <c r="AP4" s="1">
        <v>45383</v>
      </c>
      <c r="AQ4" s="1">
        <v>45383</v>
      </c>
      <c r="AR4" s="22">
        <v>45382</v>
      </c>
      <c r="AS4" s="22">
        <v>45382</v>
      </c>
      <c r="AT4" s="22">
        <v>45382</v>
      </c>
      <c r="AU4" s="1">
        <v>45384</v>
      </c>
      <c r="AV4" s="1">
        <v>45384</v>
      </c>
      <c r="AW4" s="1">
        <v>45384</v>
      </c>
      <c r="AX4" s="22">
        <v>45383</v>
      </c>
      <c r="AY4" s="22">
        <v>45383</v>
      </c>
      <c r="AZ4" s="22">
        <v>45383</v>
      </c>
      <c r="BA4" s="1">
        <v>45383</v>
      </c>
      <c r="BB4" s="1">
        <v>45383</v>
      </c>
      <c r="BC4" s="1">
        <v>45383</v>
      </c>
      <c r="BD4" s="22">
        <v>45381</v>
      </c>
      <c r="BE4" s="22">
        <v>45381</v>
      </c>
      <c r="BF4" s="22">
        <v>45381</v>
      </c>
      <c r="BG4" s="1">
        <v>45418</v>
      </c>
      <c r="BH4" s="1">
        <v>45418</v>
      </c>
      <c r="BI4" s="1">
        <v>45418</v>
      </c>
      <c r="BJ4" s="22">
        <v>45383</v>
      </c>
      <c r="BK4" s="22">
        <v>45383</v>
      </c>
      <c r="BL4" s="22">
        <v>45383</v>
      </c>
      <c r="BM4" s="1">
        <v>45420</v>
      </c>
      <c r="BN4" s="1">
        <v>45420</v>
      </c>
      <c r="BO4" s="1">
        <v>45420</v>
      </c>
      <c r="BP4" s="22">
        <v>45384</v>
      </c>
      <c r="BQ4" s="22">
        <v>45384</v>
      </c>
      <c r="BR4" s="22">
        <v>45384</v>
      </c>
      <c r="BS4" s="1">
        <v>45383</v>
      </c>
      <c r="BT4" s="1">
        <v>45383</v>
      </c>
      <c r="BU4" s="1">
        <v>45383</v>
      </c>
      <c r="BV4" s="22">
        <v>45419</v>
      </c>
      <c r="BW4" s="22">
        <v>45419</v>
      </c>
      <c r="BX4" s="22">
        <v>45419</v>
      </c>
      <c r="BY4" s="1">
        <v>45419</v>
      </c>
      <c r="BZ4" s="1">
        <v>45419</v>
      </c>
      <c r="CA4" s="1">
        <v>45419</v>
      </c>
      <c r="CB4" s="22">
        <v>45419</v>
      </c>
      <c r="CC4" s="22">
        <v>45419</v>
      </c>
      <c r="CD4" s="22">
        <v>45419</v>
      </c>
      <c r="CE4" s="1">
        <v>45417</v>
      </c>
      <c r="CF4" s="1">
        <v>45417</v>
      </c>
      <c r="CG4" s="1">
        <v>45417</v>
      </c>
      <c r="CH4" s="22">
        <v>45346</v>
      </c>
      <c r="CI4" s="22">
        <v>45346</v>
      </c>
      <c r="CJ4" s="22">
        <v>45346</v>
      </c>
      <c r="CK4" s="1">
        <v>45346</v>
      </c>
      <c r="CL4" s="1">
        <v>45346</v>
      </c>
      <c r="CM4" s="1">
        <v>45346</v>
      </c>
      <c r="CN4" s="22">
        <v>45346</v>
      </c>
      <c r="CO4" s="22">
        <v>45346</v>
      </c>
      <c r="CP4" s="22">
        <v>45346</v>
      </c>
      <c r="CQ4" s="1">
        <v>45346</v>
      </c>
      <c r="CR4" s="1">
        <v>45346</v>
      </c>
      <c r="CS4" s="1">
        <v>45346</v>
      </c>
      <c r="CT4" s="22">
        <v>45346</v>
      </c>
      <c r="CU4" s="22">
        <v>45346</v>
      </c>
      <c r="CV4" s="22">
        <v>45346</v>
      </c>
      <c r="CW4" s="1">
        <v>45346</v>
      </c>
      <c r="CX4" s="1">
        <v>45346</v>
      </c>
      <c r="CY4" s="1">
        <v>45346</v>
      </c>
      <c r="CZ4" s="22">
        <v>45346</v>
      </c>
      <c r="DA4" s="22">
        <v>45346</v>
      </c>
      <c r="DB4" s="22">
        <v>45346</v>
      </c>
      <c r="DC4" s="1">
        <v>45347</v>
      </c>
      <c r="DD4" s="1">
        <v>45347</v>
      </c>
      <c r="DE4" s="1">
        <v>45347</v>
      </c>
      <c r="DF4" s="22">
        <v>45347</v>
      </c>
      <c r="DG4" s="22">
        <v>45347</v>
      </c>
      <c r="DH4" s="22">
        <v>45347</v>
      </c>
      <c r="DI4" s="1">
        <v>45342</v>
      </c>
      <c r="DJ4" s="1">
        <v>45342</v>
      </c>
      <c r="DK4" s="1">
        <v>45342</v>
      </c>
      <c r="DL4" s="22">
        <v>45342</v>
      </c>
      <c r="DM4" s="22">
        <v>45342</v>
      </c>
      <c r="DN4" s="22">
        <v>45342</v>
      </c>
      <c r="DO4" s="1">
        <v>45342</v>
      </c>
      <c r="DP4" s="1">
        <v>45342</v>
      </c>
      <c r="DQ4" s="1">
        <v>45342</v>
      </c>
      <c r="DR4" s="22">
        <v>45347</v>
      </c>
      <c r="DS4" s="22">
        <v>45347</v>
      </c>
      <c r="DT4" s="22">
        <v>45347</v>
      </c>
      <c r="DU4" s="1">
        <v>45346</v>
      </c>
      <c r="DV4" s="1">
        <v>45346</v>
      </c>
      <c r="DW4" s="1">
        <v>45346</v>
      </c>
      <c r="DX4" s="22">
        <v>45420</v>
      </c>
      <c r="DY4" s="22">
        <v>45420</v>
      </c>
      <c r="DZ4" s="22">
        <v>45420</v>
      </c>
      <c r="EA4" s="1">
        <v>45397</v>
      </c>
      <c r="EB4" s="1">
        <v>45397</v>
      </c>
      <c r="EC4" s="1">
        <v>45397</v>
      </c>
      <c r="ED4" s="22">
        <v>45393</v>
      </c>
      <c r="EE4" s="22">
        <v>45393</v>
      </c>
      <c r="EF4" s="22">
        <v>45393</v>
      </c>
      <c r="EG4" s="1">
        <v>45396</v>
      </c>
      <c r="EH4" s="1">
        <v>45396</v>
      </c>
      <c r="EI4" s="1">
        <v>45396</v>
      </c>
      <c r="EJ4" s="22">
        <v>45399</v>
      </c>
      <c r="EK4" s="22">
        <v>45399</v>
      </c>
      <c r="EL4" s="22">
        <v>45399</v>
      </c>
      <c r="EM4" s="1">
        <v>45398</v>
      </c>
      <c r="EN4" s="1">
        <v>45398</v>
      </c>
      <c r="EO4" s="1">
        <v>45398</v>
      </c>
      <c r="EP4" s="23">
        <v>45398</v>
      </c>
      <c r="EQ4" s="23">
        <v>45398</v>
      </c>
      <c r="ER4" s="23">
        <v>45398</v>
      </c>
    </row>
    <row r="5" spans="1:148" ht="15" thickBot="1" x14ac:dyDescent="0.35">
      <c r="B5" s="25">
        <v>0.24722222222222223</v>
      </c>
      <c r="C5" s="26">
        <v>0.76527777777777772</v>
      </c>
      <c r="D5" s="27">
        <v>0.5180555555555556</v>
      </c>
      <c r="E5" s="25">
        <v>0.25486111111111109</v>
      </c>
      <c r="F5" s="26">
        <v>0.74236111111111114</v>
      </c>
      <c r="G5" s="27">
        <v>0.48680555555555555</v>
      </c>
      <c r="H5" s="25">
        <v>0.25486111111111109</v>
      </c>
      <c r="I5" s="26">
        <v>0.74236111111111114</v>
      </c>
      <c r="J5" s="27">
        <v>0.48680555555555555</v>
      </c>
      <c r="K5" s="25">
        <v>0.25486111111111109</v>
      </c>
      <c r="L5" s="26">
        <v>0.74236111111111114</v>
      </c>
      <c r="M5" s="27">
        <v>0.48680555555555555</v>
      </c>
      <c r="N5" s="25">
        <v>0.25277777777777777</v>
      </c>
      <c r="O5" s="26">
        <v>0.75</v>
      </c>
      <c r="P5" s="27">
        <v>0.49722222222222223</v>
      </c>
      <c r="Q5" s="25">
        <v>0.25277777777777777</v>
      </c>
      <c r="R5" s="26">
        <v>0.75</v>
      </c>
      <c r="S5" s="27">
        <v>0.49722222222222223</v>
      </c>
      <c r="T5" s="25">
        <v>0.25277777777777777</v>
      </c>
      <c r="U5" s="26">
        <v>0.75</v>
      </c>
      <c r="V5" s="27">
        <v>0.49722222222222223</v>
      </c>
      <c r="W5" s="25">
        <v>0.25277777777777777</v>
      </c>
      <c r="X5" s="26">
        <v>0.75</v>
      </c>
      <c r="Y5" s="27">
        <v>0.49722222222222223</v>
      </c>
      <c r="Z5" s="25">
        <v>0.25277777777777777</v>
      </c>
      <c r="AA5" s="26">
        <v>0.75</v>
      </c>
      <c r="AB5" s="27">
        <v>0.49722222222222223</v>
      </c>
      <c r="AC5" s="25">
        <v>0.25486111111111109</v>
      </c>
      <c r="AD5" s="26">
        <v>0.74375000000000002</v>
      </c>
      <c r="AE5" s="27">
        <v>0.48819444444444443</v>
      </c>
      <c r="AF5" s="25">
        <v>0.25486111111111109</v>
      </c>
      <c r="AG5" s="26">
        <v>0.74375000000000002</v>
      </c>
      <c r="AH5" s="27">
        <v>0.48819444444444443</v>
      </c>
      <c r="AI5" s="25">
        <v>0.25486111111111109</v>
      </c>
      <c r="AJ5" s="26">
        <v>0.74375000000000002</v>
      </c>
      <c r="AK5" s="27">
        <v>0.48819444444444443</v>
      </c>
      <c r="AL5" s="25">
        <v>0.25486111111111109</v>
      </c>
      <c r="AM5" s="26">
        <v>0.74375000000000002</v>
      </c>
      <c r="AN5" s="27">
        <v>0.48819444444444443</v>
      </c>
      <c r="AO5" s="28">
        <v>0.25277777777777777</v>
      </c>
      <c r="AP5" s="29">
        <v>0.75069444444444444</v>
      </c>
      <c r="AQ5" s="30">
        <v>0.49791666666666667</v>
      </c>
      <c r="AR5" s="28">
        <v>0.25277777777777777</v>
      </c>
      <c r="AS5" s="29">
        <v>0.75069444444444444</v>
      </c>
      <c r="AT5" s="30">
        <v>0.49791666666666667</v>
      </c>
      <c r="AU5" s="28">
        <v>0.25277777777777777</v>
      </c>
      <c r="AV5" s="29">
        <v>0.75069444444444444</v>
      </c>
      <c r="AW5" s="30">
        <v>0.49791666666666667</v>
      </c>
      <c r="AX5" s="28">
        <v>0.25277777777777777</v>
      </c>
      <c r="AY5" s="29">
        <v>0.75069444444444444</v>
      </c>
      <c r="AZ5" s="30">
        <v>0.49791666666666667</v>
      </c>
      <c r="BA5" s="28">
        <v>0.25277777777777777</v>
      </c>
      <c r="BB5" s="29">
        <v>0.75069444444444444</v>
      </c>
      <c r="BC5" s="30">
        <v>0.49791666666666667</v>
      </c>
      <c r="BD5" s="28">
        <v>0.25277777777777777</v>
      </c>
      <c r="BE5" s="29">
        <v>0.75069444444444444</v>
      </c>
      <c r="BF5" s="30">
        <v>0.49791666666666667</v>
      </c>
      <c r="BG5" s="25">
        <v>0.25833333333333336</v>
      </c>
      <c r="BH5" s="26">
        <v>0.73402777777777772</v>
      </c>
      <c r="BI5" s="27">
        <v>0.47499999999999998</v>
      </c>
      <c r="BJ5" s="28">
        <v>0.25277777777777777</v>
      </c>
      <c r="BK5" s="29">
        <v>0.75069444444444444</v>
      </c>
      <c r="BL5" s="30">
        <v>0.49791666666666667</v>
      </c>
      <c r="BM5" s="25">
        <v>0.25833333333333336</v>
      </c>
      <c r="BN5" s="26">
        <v>0.73402777777777772</v>
      </c>
      <c r="BO5" s="27">
        <v>0.47499999999999998</v>
      </c>
      <c r="BP5" s="28">
        <v>0.25277777777777777</v>
      </c>
      <c r="BQ5" s="29">
        <v>0.75069444444444444</v>
      </c>
      <c r="BR5" s="30">
        <v>0.49791666666666667</v>
      </c>
      <c r="BS5" s="28">
        <v>0.25277777777777777</v>
      </c>
      <c r="BT5" s="29">
        <v>0.75069444444444444</v>
      </c>
      <c r="BU5" s="30">
        <v>0.49791666666666667</v>
      </c>
      <c r="BV5" s="25">
        <v>0.25833333333333336</v>
      </c>
      <c r="BW5" s="26">
        <v>0.73402777777777772</v>
      </c>
      <c r="BX5" s="27">
        <v>0.47499999999999998</v>
      </c>
      <c r="BY5" s="25">
        <v>0.25833333333333336</v>
      </c>
      <c r="BZ5" s="26">
        <v>0.73402777777777772</v>
      </c>
      <c r="CA5" s="27">
        <v>0.47499999999999998</v>
      </c>
      <c r="CB5" s="25">
        <v>0.25833333333333336</v>
      </c>
      <c r="CC5" s="26">
        <v>0.73402777777777772</v>
      </c>
      <c r="CD5" s="27">
        <v>0.47499999999999998</v>
      </c>
      <c r="CE5" s="25">
        <v>0.25833333333333336</v>
      </c>
      <c r="CF5" s="26">
        <v>0.73402777777777772</v>
      </c>
      <c r="CG5" s="27">
        <v>0.47499999999999998</v>
      </c>
      <c r="CH5" s="28">
        <v>0.24513888888888888</v>
      </c>
      <c r="CI5" s="29">
        <v>0.76875000000000004</v>
      </c>
      <c r="CJ5" s="30">
        <v>0.52361111111111114</v>
      </c>
      <c r="CK5" s="28">
        <v>0.24513888888888888</v>
      </c>
      <c r="CL5" s="29">
        <v>0.76875000000000004</v>
      </c>
      <c r="CM5" s="30">
        <v>0.52361111111111114</v>
      </c>
      <c r="CN5" s="28">
        <v>0.24513888888888888</v>
      </c>
      <c r="CO5" s="29">
        <v>0.76875000000000004</v>
      </c>
      <c r="CP5" s="30">
        <v>0.52361111111111114</v>
      </c>
      <c r="CQ5" s="28">
        <v>0.24513888888888888</v>
      </c>
      <c r="CR5" s="29">
        <v>0.76875000000000004</v>
      </c>
      <c r="CS5" s="30">
        <v>0.52361111111111114</v>
      </c>
      <c r="CT5" s="28">
        <v>0.24513888888888888</v>
      </c>
      <c r="CU5" s="29">
        <v>0.76875000000000004</v>
      </c>
      <c r="CV5" s="30">
        <v>0.52361111111111114</v>
      </c>
      <c r="CW5" s="28">
        <v>0.24513888888888888</v>
      </c>
      <c r="CX5" s="29">
        <v>0.76875000000000004</v>
      </c>
      <c r="CY5" s="30">
        <v>0.52361111111111114</v>
      </c>
      <c r="CZ5" s="28">
        <v>0.24513888888888888</v>
      </c>
      <c r="DA5" s="29">
        <v>0.76875000000000004</v>
      </c>
      <c r="DB5" s="30">
        <v>0.52361111111111114</v>
      </c>
      <c r="DC5" s="28">
        <v>0.24513888888888888</v>
      </c>
      <c r="DD5" s="29">
        <v>0.76875000000000004</v>
      </c>
      <c r="DE5" s="30">
        <v>0.52361111111111114</v>
      </c>
      <c r="DF5" s="28">
        <v>0.24513888888888888</v>
      </c>
      <c r="DG5" s="29">
        <v>0.76875000000000004</v>
      </c>
      <c r="DH5" s="30">
        <v>0.52361111111111114</v>
      </c>
      <c r="DI5" s="25">
        <v>0.24374999999999999</v>
      </c>
      <c r="DJ5" s="26">
        <v>0.77083333333333337</v>
      </c>
      <c r="DK5" s="27">
        <v>0.52638888888888891</v>
      </c>
      <c r="DL5" s="25">
        <v>0.24374999999999999</v>
      </c>
      <c r="DM5" s="26">
        <v>0.77083333333333337</v>
      </c>
      <c r="DN5" s="27">
        <v>0.52638888888888891</v>
      </c>
      <c r="DO5" s="25">
        <v>0.24374999999999999</v>
      </c>
      <c r="DP5" s="26">
        <v>0.77083333333333337</v>
      </c>
      <c r="DQ5" s="27">
        <v>0.52638888888888891</v>
      </c>
      <c r="DR5" s="25">
        <v>0.24513888888888888</v>
      </c>
      <c r="DS5" s="26">
        <v>0.76875000000000004</v>
      </c>
      <c r="DT5" s="27">
        <v>0.52361111111111114</v>
      </c>
      <c r="DU5" s="25">
        <v>0.24513888888888888</v>
      </c>
      <c r="DV5" s="26">
        <v>0.76875000000000004</v>
      </c>
      <c r="DW5" s="27">
        <v>0.52361111111111114</v>
      </c>
      <c r="DX5" s="25">
        <v>0.2590277777777778</v>
      </c>
      <c r="DY5" s="26">
        <v>0.73402777777777772</v>
      </c>
      <c r="DZ5" s="27">
        <v>0.47499999999999998</v>
      </c>
      <c r="EA5" s="25">
        <v>0.25486111111111109</v>
      </c>
      <c r="EB5" s="26">
        <v>0.74375000000000002</v>
      </c>
      <c r="EC5" s="27">
        <v>0.48819444444444443</v>
      </c>
      <c r="ED5" s="25">
        <v>0.25486111111111109</v>
      </c>
      <c r="EE5" s="26">
        <v>0.74375000000000002</v>
      </c>
      <c r="EF5" s="27">
        <v>0.48819444444444443</v>
      </c>
      <c r="EG5" s="25">
        <v>0.25486111111111109</v>
      </c>
      <c r="EH5" s="26">
        <v>0.74375000000000002</v>
      </c>
      <c r="EI5" s="27">
        <v>0.48819444444444443</v>
      </c>
      <c r="EJ5" s="25">
        <v>0.25486111111111109</v>
      </c>
      <c r="EK5" s="26">
        <v>0.74375000000000002</v>
      </c>
      <c r="EL5" s="27">
        <v>0.48819444444444443</v>
      </c>
      <c r="EM5" s="25">
        <v>0.25486111111111109</v>
      </c>
      <c r="EN5" s="26">
        <v>0.74375000000000002</v>
      </c>
      <c r="EO5" s="27">
        <v>0.48819444444444443</v>
      </c>
      <c r="EP5" s="25">
        <v>0.25486111111111109</v>
      </c>
      <c r="EQ5" s="26">
        <v>0.74375000000000002</v>
      </c>
      <c r="ER5" s="27">
        <v>0.48819444444444443</v>
      </c>
    </row>
    <row r="6" spans="1:148" ht="15" thickBot="1" x14ac:dyDescent="0.35">
      <c r="B6" s="25">
        <v>0.24722222222222223</v>
      </c>
      <c r="C6" s="26">
        <v>0.76527777777777772</v>
      </c>
      <c r="D6" s="27">
        <v>0.51736111111111116</v>
      </c>
      <c r="E6" s="28">
        <v>0.25555555555555554</v>
      </c>
      <c r="F6" s="29">
        <v>0.7416666666666667</v>
      </c>
      <c r="G6" s="30">
        <v>0.4861111111111111</v>
      </c>
      <c r="H6" s="28">
        <v>0.25555555555555554</v>
      </c>
      <c r="I6" s="29">
        <v>0.7416666666666667</v>
      </c>
      <c r="J6" s="30">
        <v>0.4861111111111111</v>
      </c>
      <c r="K6" s="28">
        <v>0.25555555555555554</v>
      </c>
      <c r="L6" s="29">
        <v>0.7416666666666667</v>
      </c>
      <c r="M6" s="30">
        <v>0.4861111111111111</v>
      </c>
      <c r="N6" s="28">
        <v>0.25347222222222221</v>
      </c>
      <c r="O6" s="29">
        <v>0.75</v>
      </c>
      <c r="P6" s="30">
        <v>0.49652777777777779</v>
      </c>
      <c r="Q6" s="28">
        <v>0.25347222222222221</v>
      </c>
      <c r="R6" s="29">
        <v>0.75</v>
      </c>
      <c r="S6" s="30">
        <v>0.49652777777777779</v>
      </c>
      <c r="T6" s="28">
        <v>0.25347222222222221</v>
      </c>
      <c r="U6" s="29">
        <v>0.75</v>
      </c>
      <c r="V6" s="30">
        <v>0.49652777777777779</v>
      </c>
      <c r="W6" s="28">
        <v>0.25347222222222221</v>
      </c>
      <c r="X6" s="29">
        <v>0.75</v>
      </c>
      <c r="Y6" s="30">
        <v>0.49652777777777779</v>
      </c>
      <c r="Z6" s="28">
        <v>0.25347222222222221</v>
      </c>
      <c r="AA6" s="29">
        <v>0.75</v>
      </c>
      <c r="AB6" s="30">
        <v>0.49652777777777779</v>
      </c>
      <c r="AC6" s="28">
        <v>0.25486111111111109</v>
      </c>
      <c r="AD6" s="29">
        <v>0.74305555555555558</v>
      </c>
      <c r="AE6" s="30">
        <v>0.48749999999999999</v>
      </c>
      <c r="AF6" s="28">
        <v>0.25486111111111109</v>
      </c>
      <c r="AG6" s="29">
        <v>0.74305555555555558</v>
      </c>
      <c r="AH6" s="30">
        <v>0.48749999999999999</v>
      </c>
      <c r="AI6" s="28">
        <v>0.25486111111111109</v>
      </c>
      <c r="AJ6" s="29">
        <v>0.74305555555555558</v>
      </c>
      <c r="AK6" s="30">
        <v>0.48749999999999999</v>
      </c>
      <c r="AL6" s="28">
        <v>0.25486111111111109</v>
      </c>
      <c r="AM6" s="29">
        <v>0.74305555555555558</v>
      </c>
      <c r="AN6" s="30">
        <v>0.48749999999999999</v>
      </c>
      <c r="AO6" s="25">
        <v>0.25277777777777777</v>
      </c>
      <c r="AP6" s="26">
        <v>0.75</v>
      </c>
      <c r="AQ6" s="27">
        <v>0.49722222222222223</v>
      </c>
      <c r="AR6" s="25">
        <v>0.25277777777777777</v>
      </c>
      <c r="AS6" s="26">
        <v>0.75</v>
      </c>
      <c r="AT6" s="27">
        <v>0.49722222222222223</v>
      </c>
      <c r="AU6" s="25">
        <v>0.25277777777777777</v>
      </c>
      <c r="AV6" s="26">
        <v>0.75</v>
      </c>
      <c r="AW6" s="27">
        <v>0.49722222222222223</v>
      </c>
      <c r="AX6" s="25">
        <v>0.25277777777777777</v>
      </c>
      <c r="AY6" s="26">
        <v>0.75</v>
      </c>
      <c r="AZ6" s="27">
        <v>0.49722222222222223</v>
      </c>
      <c r="BA6" s="25">
        <v>0.25277777777777777</v>
      </c>
      <c r="BB6" s="26">
        <v>0.75</v>
      </c>
      <c r="BC6" s="27">
        <v>0.49722222222222223</v>
      </c>
      <c r="BD6" s="25">
        <v>0.25277777777777777</v>
      </c>
      <c r="BE6" s="26">
        <v>0.75</v>
      </c>
      <c r="BF6" s="27">
        <v>0.49722222222222223</v>
      </c>
      <c r="BG6" s="28">
        <v>0.25833333333333336</v>
      </c>
      <c r="BH6" s="29">
        <v>0.73333333333333328</v>
      </c>
      <c r="BI6" s="30">
        <v>0.47430555555555554</v>
      </c>
      <c r="BJ6" s="25">
        <v>0.25277777777777777</v>
      </c>
      <c r="BK6" s="26">
        <v>0.75</v>
      </c>
      <c r="BL6" s="27">
        <v>0.49722222222222223</v>
      </c>
      <c r="BM6" s="28">
        <v>0.25833333333333336</v>
      </c>
      <c r="BN6" s="29">
        <v>0.73333333333333328</v>
      </c>
      <c r="BO6" s="30">
        <v>0.47430555555555554</v>
      </c>
      <c r="BP6" s="25">
        <v>0.25277777777777777</v>
      </c>
      <c r="BQ6" s="26">
        <v>0.75</v>
      </c>
      <c r="BR6" s="27">
        <v>0.49722222222222223</v>
      </c>
      <c r="BS6" s="25">
        <v>0.25277777777777777</v>
      </c>
      <c r="BT6" s="26">
        <v>0.75</v>
      </c>
      <c r="BU6" s="27">
        <v>0.49722222222222223</v>
      </c>
      <c r="BV6" s="28">
        <v>0.2590277777777778</v>
      </c>
      <c r="BW6" s="29">
        <v>0.73333333333333328</v>
      </c>
      <c r="BX6" s="30">
        <v>0.47430555555555554</v>
      </c>
      <c r="BY6" s="28">
        <v>0.2590277777777778</v>
      </c>
      <c r="BZ6" s="29">
        <v>0.73333333333333328</v>
      </c>
      <c r="CA6" s="30">
        <v>0.47430555555555554</v>
      </c>
      <c r="CB6" s="28">
        <v>0.2590277777777778</v>
      </c>
      <c r="CC6" s="29">
        <v>0.73333333333333328</v>
      </c>
      <c r="CD6" s="30">
        <v>0.47430555555555554</v>
      </c>
      <c r="CE6" s="28">
        <v>0.2590277777777778</v>
      </c>
      <c r="CF6" s="29">
        <v>0.73333333333333328</v>
      </c>
      <c r="CG6" s="30">
        <v>0.47430555555555554</v>
      </c>
      <c r="CH6" s="25">
        <v>0.24513888888888888</v>
      </c>
      <c r="CI6" s="26">
        <v>0.76875000000000004</v>
      </c>
      <c r="CJ6" s="27">
        <v>0.5229166666666667</v>
      </c>
      <c r="CK6" s="25">
        <v>0.24513888888888888</v>
      </c>
      <c r="CL6" s="26">
        <v>0.76875000000000004</v>
      </c>
      <c r="CM6" s="27">
        <v>0.5229166666666667</v>
      </c>
      <c r="CN6" s="25">
        <v>0.24513888888888888</v>
      </c>
      <c r="CO6" s="26">
        <v>0.76875000000000004</v>
      </c>
      <c r="CP6" s="27">
        <v>0.5229166666666667</v>
      </c>
      <c r="CQ6" s="25">
        <v>0.24513888888888888</v>
      </c>
      <c r="CR6" s="26">
        <v>0.76875000000000004</v>
      </c>
      <c r="CS6" s="27">
        <v>0.5229166666666667</v>
      </c>
      <c r="CT6" s="25">
        <v>0.24513888888888888</v>
      </c>
      <c r="CU6" s="26">
        <v>0.76875000000000004</v>
      </c>
      <c r="CV6" s="27">
        <v>0.5229166666666667</v>
      </c>
      <c r="CW6" s="25">
        <v>0.24513888888888888</v>
      </c>
      <c r="CX6" s="26">
        <v>0.76875000000000004</v>
      </c>
      <c r="CY6" s="27">
        <v>0.5229166666666667</v>
      </c>
      <c r="CZ6" s="25">
        <v>0.24513888888888888</v>
      </c>
      <c r="DA6" s="26">
        <v>0.76875000000000004</v>
      </c>
      <c r="DB6" s="27">
        <v>0.5229166666666667</v>
      </c>
      <c r="DC6" s="25">
        <v>0.24513888888888888</v>
      </c>
      <c r="DD6" s="26">
        <v>0.76875000000000004</v>
      </c>
      <c r="DE6" s="27">
        <v>0.5229166666666667</v>
      </c>
      <c r="DF6" s="25">
        <v>0.24513888888888888</v>
      </c>
      <c r="DG6" s="26">
        <v>0.76875000000000004</v>
      </c>
      <c r="DH6" s="27">
        <v>0.5229166666666667</v>
      </c>
      <c r="DI6" s="25">
        <v>0.24444444444444444</v>
      </c>
      <c r="DJ6" s="26">
        <v>0.77013888888888893</v>
      </c>
      <c r="DK6" s="27">
        <v>0.52569444444444446</v>
      </c>
      <c r="DL6" s="25">
        <v>0.24444444444444444</v>
      </c>
      <c r="DM6" s="26">
        <v>0.77013888888888893</v>
      </c>
      <c r="DN6" s="27">
        <v>0.52569444444444446</v>
      </c>
      <c r="DO6" s="25">
        <v>0.24444444444444444</v>
      </c>
      <c r="DP6" s="26">
        <v>0.77013888888888893</v>
      </c>
      <c r="DQ6" s="27">
        <v>0.52569444444444446</v>
      </c>
      <c r="DR6" s="25">
        <v>0.24583333333333332</v>
      </c>
      <c r="DS6" s="26">
        <v>0.76875000000000004</v>
      </c>
      <c r="DT6" s="27">
        <v>0.5229166666666667</v>
      </c>
      <c r="DU6" s="25">
        <v>0.24583333333333332</v>
      </c>
      <c r="DV6" s="26">
        <v>0.76875000000000004</v>
      </c>
      <c r="DW6" s="27">
        <v>0.5229166666666667</v>
      </c>
      <c r="DX6" s="28">
        <v>0.2590277777777778</v>
      </c>
      <c r="DY6" s="29">
        <v>0.73333333333333328</v>
      </c>
      <c r="DZ6" s="30">
        <v>0.47430555555555554</v>
      </c>
      <c r="EA6" s="28">
        <v>0.25486111111111109</v>
      </c>
      <c r="EB6" s="29">
        <v>0.74305555555555558</v>
      </c>
      <c r="EC6" s="30">
        <v>0.48749999999999999</v>
      </c>
      <c r="ED6" s="28">
        <v>0.25486111111111109</v>
      </c>
      <c r="EE6" s="29">
        <v>0.74305555555555558</v>
      </c>
      <c r="EF6" s="30">
        <v>0.48749999999999999</v>
      </c>
      <c r="EG6" s="28">
        <v>0.25486111111111109</v>
      </c>
      <c r="EH6" s="29">
        <v>0.74305555555555558</v>
      </c>
      <c r="EI6" s="30">
        <v>0.48749999999999999</v>
      </c>
      <c r="EJ6" s="28">
        <v>0.25486111111111109</v>
      </c>
      <c r="EK6" s="29">
        <v>0.74305555555555558</v>
      </c>
      <c r="EL6" s="30">
        <v>0.48749999999999999</v>
      </c>
      <c r="EM6" s="28">
        <v>0.25486111111111109</v>
      </c>
      <c r="EN6" s="29">
        <v>0.74305555555555558</v>
      </c>
      <c r="EO6" s="30">
        <v>0.48749999999999999</v>
      </c>
      <c r="EP6" s="28">
        <v>0.25486111111111109</v>
      </c>
      <c r="EQ6" s="29">
        <v>0.74305555555555558</v>
      </c>
      <c r="ER6" s="30">
        <v>0.48749999999999999</v>
      </c>
    </row>
    <row r="7" spans="1:148" ht="15" thickBot="1" x14ac:dyDescent="0.35">
      <c r="B7" s="28">
        <v>0.24791666666666667</v>
      </c>
      <c r="C7" s="29">
        <v>0.76458333333333328</v>
      </c>
      <c r="D7" s="30">
        <v>0.51666666666666672</v>
      </c>
      <c r="E7" s="25">
        <v>0.25555555555555554</v>
      </c>
      <c r="F7" s="26">
        <v>0.7416666666666667</v>
      </c>
      <c r="G7" s="27">
        <v>0.48541666666666666</v>
      </c>
      <c r="H7" s="25">
        <v>0.25555555555555554</v>
      </c>
      <c r="I7" s="26">
        <v>0.7416666666666667</v>
      </c>
      <c r="J7" s="27">
        <v>0.48541666666666666</v>
      </c>
      <c r="K7" s="25">
        <v>0.25555555555555554</v>
      </c>
      <c r="L7" s="26">
        <v>0.7416666666666667</v>
      </c>
      <c r="M7" s="27">
        <v>0.48541666666666666</v>
      </c>
      <c r="N7" s="25">
        <v>0.25347222222222221</v>
      </c>
      <c r="O7" s="26">
        <v>0.74930555555555556</v>
      </c>
      <c r="P7" s="27">
        <v>0.49583333333333335</v>
      </c>
      <c r="Q7" s="25">
        <v>0.25347222222222221</v>
      </c>
      <c r="R7" s="26">
        <v>0.74930555555555556</v>
      </c>
      <c r="S7" s="27">
        <v>0.49583333333333335</v>
      </c>
      <c r="T7" s="25">
        <v>0.25347222222222221</v>
      </c>
      <c r="U7" s="26">
        <v>0.74930555555555556</v>
      </c>
      <c r="V7" s="27">
        <v>0.49583333333333335</v>
      </c>
      <c r="W7" s="25">
        <v>0.25347222222222221</v>
      </c>
      <c r="X7" s="26">
        <v>0.74930555555555556</v>
      </c>
      <c r="Y7" s="27">
        <v>0.49583333333333335</v>
      </c>
      <c r="Z7" s="25">
        <v>0.25347222222222221</v>
      </c>
      <c r="AA7" s="26">
        <v>0.74930555555555556</v>
      </c>
      <c r="AB7" s="27">
        <v>0.49583333333333335</v>
      </c>
      <c r="AC7" s="25">
        <v>0.25486111111111109</v>
      </c>
      <c r="AD7" s="26">
        <v>0.74236111111111114</v>
      </c>
      <c r="AE7" s="27">
        <v>0.48680555555555555</v>
      </c>
      <c r="AF7" s="25">
        <v>0.25486111111111109</v>
      </c>
      <c r="AG7" s="26">
        <v>0.74236111111111114</v>
      </c>
      <c r="AH7" s="27">
        <v>0.48680555555555555</v>
      </c>
      <c r="AI7" s="25">
        <v>0.25486111111111109</v>
      </c>
      <c r="AJ7" s="26">
        <v>0.74236111111111114</v>
      </c>
      <c r="AK7" s="27">
        <v>0.48680555555555555</v>
      </c>
      <c r="AL7" s="25">
        <v>0.25486111111111109</v>
      </c>
      <c r="AM7" s="26">
        <v>0.74236111111111114</v>
      </c>
      <c r="AN7" s="27">
        <v>0.48680555555555555</v>
      </c>
      <c r="AO7" s="28">
        <v>0.25277777777777777</v>
      </c>
      <c r="AP7" s="29">
        <v>0.75</v>
      </c>
      <c r="AQ7" s="30">
        <v>0.49652777777777779</v>
      </c>
      <c r="AR7" s="28">
        <v>0.25277777777777777</v>
      </c>
      <c r="AS7" s="29">
        <v>0.75</v>
      </c>
      <c r="AT7" s="30">
        <v>0.49652777777777779</v>
      </c>
      <c r="AU7" s="28">
        <v>0.25277777777777777</v>
      </c>
      <c r="AV7" s="29">
        <v>0.75</v>
      </c>
      <c r="AW7" s="30">
        <v>0.49652777777777779</v>
      </c>
      <c r="AX7" s="28">
        <v>0.25277777777777777</v>
      </c>
      <c r="AY7" s="29">
        <v>0.75</v>
      </c>
      <c r="AZ7" s="30">
        <v>0.49652777777777779</v>
      </c>
      <c r="BA7" s="28">
        <v>0.25277777777777777</v>
      </c>
      <c r="BB7" s="29">
        <v>0.75</v>
      </c>
      <c r="BC7" s="30">
        <v>0.49652777777777779</v>
      </c>
      <c r="BD7" s="28">
        <v>0.25277777777777777</v>
      </c>
      <c r="BE7" s="29">
        <v>0.75</v>
      </c>
      <c r="BF7" s="30">
        <v>0.49652777777777779</v>
      </c>
      <c r="BG7" s="25">
        <v>0.2590277777777778</v>
      </c>
      <c r="BH7" s="26">
        <v>0.73333333333333328</v>
      </c>
      <c r="BI7" s="27">
        <v>0.47430555555555554</v>
      </c>
      <c r="BJ7" s="28">
        <v>0.25277777777777777</v>
      </c>
      <c r="BK7" s="29">
        <v>0.75</v>
      </c>
      <c r="BL7" s="30">
        <v>0.49652777777777779</v>
      </c>
      <c r="BM7" s="25">
        <v>0.2590277777777778</v>
      </c>
      <c r="BN7" s="26">
        <v>0.73333333333333328</v>
      </c>
      <c r="BO7" s="27">
        <v>0.47430555555555554</v>
      </c>
      <c r="BP7" s="28">
        <v>0.25277777777777777</v>
      </c>
      <c r="BQ7" s="29">
        <v>0.75</v>
      </c>
      <c r="BR7" s="30">
        <v>0.49652777777777779</v>
      </c>
      <c r="BS7" s="28">
        <v>0.25277777777777777</v>
      </c>
      <c r="BT7" s="29">
        <v>0.75</v>
      </c>
      <c r="BU7" s="30">
        <v>0.49652777777777779</v>
      </c>
      <c r="BV7" s="25">
        <v>0.2590277777777778</v>
      </c>
      <c r="BW7" s="26">
        <v>0.73333333333333328</v>
      </c>
      <c r="BX7" s="27">
        <v>0.47361111111111109</v>
      </c>
      <c r="BY7" s="25">
        <v>0.2590277777777778</v>
      </c>
      <c r="BZ7" s="26">
        <v>0.73333333333333328</v>
      </c>
      <c r="CA7" s="27">
        <v>0.47361111111111109</v>
      </c>
      <c r="CB7" s="25">
        <v>0.2590277777777778</v>
      </c>
      <c r="CC7" s="26">
        <v>0.73333333333333328</v>
      </c>
      <c r="CD7" s="27">
        <v>0.47361111111111109</v>
      </c>
      <c r="CE7" s="25">
        <v>0.2590277777777778</v>
      </c>
      <c r="CF7" s="26">
        <v>0.73333333333333328</v>
      </c>
      <c r="CG7" s="27">
        <v>0.47361111111111109</v>
      </c>
      <c r="CH7" s="28">
        <v>0.24583333333333332</v>
      </c>
      <c r="CI7" s="29">
        <v>0.7680555555555556</v>
      </c>
      <c r="CJ7" s="30">
        <v>0.52222222222222225</v>
      </c>
      <c r="CK7" s="28">
        <v>0.24583333333333332</v>
      </c>
      <c r="CL7" s="29">
        <v>0.7680555555555556</v>
      </c>
      <c r="CM7" s="30">
        <v>0.52222222222222225</v>
      </c>
      <c r="CN7" s="28">
        <v>0.24583333333333332</v>
      </c>
      <c r="CO7" s="29">
        <v>0.7680555555555556</v>
      </c>
      <c r="CP7" s="30">
        <v>0.52222222222222225</v>
      </c>
      <c r="CQ7" s="28">
        <v>0.24583333333333332</v>
      </c>
      <c r="CR7" s="29">
        <v>0.7680555555555556</v>
      </c>
      <c r="CS7" s="30">
        <v>0.52222222222222225</v>
      </c>
      <c r="CT7" s="28">
        <v>0.24583333333333332</v>
      </c>
      <c r="CU7" s="29">
        <v>0.7680555555555556</v>
      </c>
      <c r="CV7" s="30">
        <v>0.52222222222222225</v>
      </c>
      <c r="CW7" s="28">
        <v>0.24583333333333332</v>
      </c>
      <c r="CX7" s="29">
        <v>0.7680555555555556</v>
      </c>
      <c r="CY7" s="30">
        <v>0.52222222222222225</v>
      </c>
      <c r="CZ7" s="28">
        <v>0.24583333333333332</v>
      </c>
      <c r="DA7" s="29">
        <v>0.7680555555555556</v>
      </c>
      <c r="DB7" s="30">
        <v>0.52222222222222225</v>
      </c>
      <c r="DC7" s="28">
        <v>0.24583333333333332</v>
      </c>
      <c r="DD7" s="29">
        <v>0.7680555555555556</v>
      </c>
      <c r="DE7" s="30">
        <v>0.52222222222222225</v>
      </c>
      <c r="DF7" s="28">
        <v>0.24583333333333332</v>
      </c>
      <c r="DG7" s="29">
        <v>0.7680555555555556</v>
      </c>
      <c r="DH7" s="30">
        <v>0.52222222222222225</v>
      </c>
      <c r="DI7" s="28">
        <v>0.24444444444444444</v>
      </c>
      <c r="DJ7" s="29">
        <v>0.77013888888888893</v>
      </c>
      <c r="DK7" s="30">
        <v>0.52500000000000002</v>
      </c>
      <c r="DL7" s="28">
        <v>0.24444444444444444</v>
      </c>
      <c r="DM7" s="29">
        <v>0.77013888888888893</v>
      </c>
      <c r="DN7" s="30">
        <v>0.52500000000000002</v>
      </c>
      <c r="DO7" s="28">
        <v>0.24444444444444444</v>
      </c>
      <c r="DP7" s="29">
        <v>0.77013888888888893</v>
      </c>
      <c r="DQ7" s="30">
        <v>0.52500000000000002</v>
      </c>
      <c r="DR7" s="28">
        <v>0.24583333333333332</v>
      </c>
      <c r="DS7" s="29">
        <v>0.7680555555555556</v>
      </c>
      <c r="DT7" s="30">
        <v>0.52222222222222225</v>
      </c>
      <c r="DU7" s="28">
        <v>0.24583333333333332</v>
      </c>
      <c r="DV7" s="29">
        <v>0.7680555555555556</v>
      </c>
      <c r="DW7" s="30">
        <v>0.52222222222222225</v>
      </c>
      <c r="DX7" s="25">
        <v>0.2590277777777778</v>
      </c>
      <c r="DY7" s="26">
        <v>0.73333333333333328</v>
      </c>
      <c r="DZ7" s="27">
        <v>0.47361111111111109</v>
      </c>
      <c r="EA7" s="25">
        <v>0.25555555555555554</v>
      </c>
      <c r="EB7" s="26">
        <v>0.74236111111111114</v>
      </c>
      <c r="EC7" s="27">
        <v>0.48680555555555555</v>
      </c>
      <c r="EG7" s="25">
        <v>0.25555555555555554</v>
      </c>
      <c r="EH7" s="26">
        <v>0.74236111111111114</v>
      </c>
      <c r="EI7" s="27">
        <v>0.48680555555555555</v>
      </c>
      <c r="EJ7" s="25">
        <v>0.25555555555555554</v>
      </c>
      <c r="EK7" s="26">
        <v>0.74236111111111114</v>
      </c>
      <c r="EL7" s="27">
        <v>0.48680555555555555</v>
      </c>
      <c r="EM7" s="25">
        <v>0.25555555555555554</v>
      </c>
      <c r="EN7" s="26">
        <v>0.74236111111111114</v>
      </c>
      <c r="EO7" s="27">
        <v>0.48680555555555555</v>
      </c>
      <c r="EP7" s="25">
        <v>0.25555555555555554</v>
      </c>
      <c r="EQ7" s="26">
        <v>0.74236111111111114</v>
      </c>
      <c r="ER7" s="27">
        <v>0.48680555555555555</v>
      </c>
    </row>
    <row r="8" spans="1:148" ht="15" thickBot="1" x14ac:dyDescent="0.35">
      <c r="B8" s="28">
        <v>0.24791666666666667</v>
      </c>
      <c r="C8" s="29">
        <v>0.76388888888888884</v>
      </c>
      <c r="D8" s="30">
        <v>0.51597222222222228</v>
      </c>
      <c r="E8" s="28">
        <v>0.25555555555555554</v>
      </c>
      <c r="F8" s="29">
        <v>0.74097222222222225</v>
      </c>
      <c r="G8" s="30">
        <v>0.48472222222222222</v>
      </c>
      <c r="H8" s="28">
        <v>0.25555555555555554</v>
      </c>
      <c r="I8" s="29">
        <v>0.74097222222222225</v>
      </c>
      <c r="J8" s="30">
        <v>0.48472222222222222</v>
      </c>
      <c r="K8" s="28">
        <v>0.25555555555555554</v>
      </c>
      <c r="L8" s="29">
        <v>0.74097222222222225</v>
      </c>
      <c r="M8" s="30">
        <v>0.48472222222222222</v>
      </c>
      <c r="N8" s="28">
        <v>0.25347222222222221</v>
      </c>
      <c r="O8" s="29">
        <v>0.74861111111111112</v>
      </c>
      <c r="P8" s="30">
        <v>0.49513888888888891</v>
      </c>
      <c r="Q8" s="28">
        <v>0.25347222222222221</v>
      </c>
      <c r="R8" s="29">
        <v>0.74861111111111112</v>
      </c>
      <c r="S8" s="30">
        <v>0.49513888888888891</v>
      </c>
      <c r="T8" s="28">
        <v>0.25347222222222221</v>
      </c>
      <c r="U8" s="29">
        <v>0.74861111111111112</v>
      </c>
      <c r="V8" s="30">
        <v>0.49513888888888891</v>
      </c>
      <c r="W8" s="28">
        <v>0.25347222222222221</v>
      </c>
      <c r="X8" s="29">
        <v>0.74861111111111112</v>
      </c>
      <c r="Y8" s="30">
        <v>0.49513888888888891</v>
      </c>
      <c r="Z8" s="28">
        <v>0.25347222222222221</v>
      </c>
      <c r="AA8" s="29">
        <v>0.74861111111111112</v>
      </c>
      <c r="AB8" s="30">
        <v>0.49513888888888891</v>
      </c>
      <c r="AC8" s="28">
        <v>0.25555555555555554</v>
      </c>
      <c r="AD8" s="29">
        <v>0.7416666666666667</v>
      </c>
      <c r="AE8" s="30">
        <v>0.4861111111111111</v>
      </c>
      <c r="AF8" s="28">
        <v>0.25555555555555554</v>
      </c>
      <c r="AG8" s="29">
        <v>0.7416666666666667</v>
      </c>
      <c r="AH8" s="30">
        <v>0.4861111111111111</v>
      </c>
      <c r="AI8" s="28">
        <v>0.25555555555555554</v>
      </c>
      <c r="AJ8" s="29">
        <v>0.7416666666666667</v>
      </c>
      <c r="AK8" s="30">
        <v>0.4861111111111111</v>
      </c>
      <c r="AL8" s="28">
        <v>0.25555555555555554</v>
      </c>
      <c r="AM8" s="29">
        <v>0.7416666666666667</v>
      </c>
      <c r="AN8" s="30">
        <v>0.4861111111111111</v>
      </c>
      <c r="AO8" s="25">
        <v>0.25347222222222221</v>
      </c>
      <c r="AP8" s="26">
        <v>0.74930555555555556</v>
      </c>
      <c r="AQ8" s="27">
        <v>0.49583333333333335</v>
      </c>
      <c r="AR8" s="25">
        <v>0.25347222222222221</v>
      </c>
      <c r="AS8" s="26">
        <v>0.74930555555555556</v>
      </c>
      <c r="AT8" s="27">
        <v>0.49583333333333335</v>
      </c>
      <c r="AU8" s="25">
        <v>0.25347222222222221</v>
      </c>
      <c r="AV8" s="26">
        <v>0.74930555555555556</v>
      </c>
      <c r="AW8" s="27">
        <v>0.49583333333333335</v>
      </c>
      <c r="AX8" s="25">
        <v>0.25347222222222221</v>
      </c>
      <c r="AY8" s="26">
        <v>0.74930555555555556</v>
      </c>
      <c r="AZ8" s="27">
        <v>0.49583333333333335</v>
      </c>
      <c r="BA8" s="25">
        <v>0.25347222222222221</v>
      </c>
      <c r="BB8" s="26">
        <v>0.74930555555555556</v>
      </c>
      <c r="BC8" s="27">
        <v>0.49583333333333335</v>
      </c>
      <c r="BD8" s="25">
        <v>0.25347222222222221</v>
      </c>
      <c r="BE8" s="26">
        <v>0.74930555555555556</v>
      </c>
      <c r="BF8" s="27">
        <v>0.49583333333333335</v>
      </c>
      <c r="BG8" s="28">
        <v>0.2590277777777778</v>
      </c>
      <c r="BH8" s="29">
        <v>0.73263888888888884</v>
      </c>
      <c r="BI8" s="30">
        <v>0.47361111111111109</v>
      </c>
      <c r="BJ8" s="25">
        <v>0.25347222222222221</v>
      </c>
      <c r="BK8" s="26">
        <v>0.74930555555555556</v>
      </c>
      <c r="BL8" s="27">
        <v>0.49583333333333335</v>
      </c>
      <c r="BM8" s="28">
        <v>0.2590277777777778</v>
      </c>
      <c r="BN8" s="29">
        <v>0.73263888888888884</v>
      </c>
      <c r="BO8" s="30">
        <v>0.47361111111111109</v>
      </c>
      <c r="BP8" s="25">
        <v>0.25347222222222221</v>
      </c>
      <c r="BQ8" s="26">
        <v>0.74930555555555556</v>
      </c>
      <c r="BR8" s="27">
        <v>0.49583333333333335</v>
      </c>
      <c r="BS8" s="25">
        <v>0.25347222222222221</v>
      </c>
      <c r="BT8" s="26">
        <v>0.74930555555555556</v>
      </c>
      <c r="BU8" s="27">
        <v>0.49583333333333335</v>
      </c>
      <c r="BV8" s="28">
        <v>0.2590277777777778</v>
      </c>
      <c r="BW8" s="29">
        <v>0.73263888888888884</v>
      </c>
      <c r="BX8" s="30">
        <v>0.47361111111111109</v>
      </c>
      <c r="BY8" s="28">
        <v>0.2590277777777778</v>
      </c>
      <c r="BZ8" s="29">
        <v>0.73263888888888884</v>
      </c>
      <c r="CA8" s="30">
        <v>0.47361111111111109</v>
      </c>
      <c r="CB8" s="28">
        <v>0.2590277777777778</v>
      </c>
      <c r="CC8" s="29">
        <v>0.73263888888888884</v>
      </c>
      <c r="CD8" s="30">
        <v>0.47361111111111109</v>
      </c>
      <c r="CE8" s="28">
        <v>0.2590277777777778</v>
      </c>
      <c r="CF8" s="29">
        <v>0.73263888888888884</v>
      </c>
      <c r="CG8" s="30">
        <v>0.47361111111111109</v>
      </c>
      <c r="CH8" s="25">
        <v>0.24583333333333332</v>
      </c>
      <c r="CI8" s="26">
        <v>0.76736111111111116</v>
      </c>
      <c r="CJ8" s="27">
        <v>0.52152777777777781</v>
      </c>
      <c r="CK8" s="25">
        <v>0.24583333333333332</v>
      </c>
      <c r="CL8" s="26">
        <v>0.76736111111111116</v>
      </c>
      <c r="CM8" s="27">
        <v>0.52152777777777781</v>
      </c>
      <c r="CN8" s="25">
        <v>0.24583333333333332</v>
      </c>
      <c r="CO8" s="26">
        <v>0.76736111111111116</v>
      </c>
      <c r="CP8" s="27">
        <v>0.52152777777777781</v>
      </c>
      <c r="CQ8" s="25">
        <v>0.24583333333333332</v>
      </c>
      <c r="CR8" s="26">
        <v>0.76736111111111116</v>
      </c>
      <c r="CS8" s="27">
        <v>0.52152777777777781</v>
      </c>
      <c r="CT8" s="25">
        <v>0.24583333333333332</v>
      </c>
      <c r="CU8" s="26">
        <v>0.76736111111111116</v>
      </c>
      <c r="CV8" s="27">
        <v>0.52152777777777781</v>
      </c>
      <c r="CW8" s="25">
        <v>0.24583333333333332</v>
      </c>
      <c r="CX8" s="26">
        <v>0.76736111111111116</v>
      </c>
      <c r="CY8" s="27">
        <v>0.52152777777777781</v>
      </c>
      <c r="CZ8" s="25">
        <v>0.24583333333333332</v>
      </c>
      <c r="DA8" s="26">
        <v>0.76736111111111116</v>
      </c>
      <c r="DB8" s="27">
        <v>0.52152777777777781</v>
      </c>
      <c r="DC8" s="25">
        <v>0.24583333333333332</v>
      </c>
      <c r="DD8" s="26">
        <v>0.76736111111111116</v>
      </c>
      <c r="DE8" s="27">
        <v>0.52152777777777781</v>
      </c>
      <c r="DF8" s="25">
        <v>0.24583333333333332</v>
      </c>
      <c r="DG8" s="26">
        <v>0.76736111111111116</v>
      </c>
      <c r="DH8" s="27">
        <v>0.52152777777777781</v>
      </c>
      <c r="DI8" s="25">
        <v>0.24513888888888888</v>
      </c>
      <c r="DJ8" s="26">
        <v>0.76944444444444449</v>
      </c>
      <c r="DK8" s="27">
        <v>0.52430555555555558</v>
      </c>
      <c r="DL8" s="25">
        <v>0.24513888888888888</v>
      </c>
      <c r="DM8" s="26">
        <v>0.76944444444444449</v>
      </c>
      <c r="DN8" s="27">
        <v>0.52430555555555558</v>
      </c>
      <c r="DO8" s="25">
        <v>0.24513888888888888</v>
      </c>
      <c r="DP8" s="26">
        <v>0.76944444444444449</v>
      </c>
      <c r="DQ8" s="27">
        <v>0.52430555555555558</v>
      </c>
      <c r="DR8" s="25">
        <v>0.24583333333333332</v>
      </c>
      <c r="DS8" s="26">
        <v>0.7680555555555556</v>
      </c>
      <c r="DT8" s="27">
        <v>0.52152777777777781</v>
      </c>
      <c r="DU8" s="25">
        <v>0.24583333333333332</v>
      </c>
      <c r="DV8" s="26">
        <v>0.7680555555555556</v>
      </c>
      <c r="DW8" s="27">
        <v>0.52152777777777781</v>
      </c>
      <c r="DX8" s="28">
        <v>0.2590277777777778</v>
      </c>
      <c r="DY8" s="29">
        <v>0.73263888888888884</v>
      </c>
      <c r="DZ8" s="30">
        <v>0.47291666666666665</v>
      </c>
      <c r="EA8" s="28">
        <v>0.25555555555555554</v>
      </c>
      <c r="EB8" s="29">
        <v>0.7416666666666667</v>
      </c>
      <c r="EC8" s="30">
        <v>0.4861111111111111</v>
      </c>
      <c r="EG8" s="28">
        <v>0.25555555555555554</v>
      </c>
      <c r="EH8" s="29">
        <v>0.7416666666666667</v>
      </c>
      <c r="EI8" s="30">
        <v>0.4861111111111111</v>
      </c>
      <c r="EJ8" s="28">
        <v>0.25555555555555554</v>
      </c>
      <c r="EK8" s="29">
        <v>0.7416666666666667</v>
      </c>
      <c r="EL8" s="30">
        <v>0.4861111111111111</v>
      </c>
      <c r="EM8" s="28">
        <v>0.25555555555555554</v>
      </c>
      <c r="EN8" s="29">
        <v>0.7416666666666667</v>
      </c>
      <c r="EO8" s="30">
        <v>0.4861111111111111</v>
      </c>
      <c r="EP8" s="28">
        <v>0.25555555555555554</v>
      </c>
      <c r="EQ8" s="29">
        <v>0.7416666666666667</v>
      </c>
      <c r="ER8" s="30">
        <v>0.4861111111111111</v>
      </c>
    </row>
    <row r="9" spans="1:148" ht="15" thickBot="1" x14ac:dyDescent="0.35">
      <c r="B9" s="25">
        <v>0.24791666666666667</v>
      </c>
      <c r="C9" s="26">
        <v>0.76388888888888884</v>
      </c>
      <c r="D9" s="27">
        <v>0.51527777777777772</v>
      </c>
      <c r="E9" s="25">
        <v>0.25555555555555554</v>
      </c>
      <c r="F9" s="26">
        <v>0.74027777777777781</v>
      </c>
      <c r="G9" s="27">
        <v>0.48402777777777778</v>
      </c>
      <c r="H9" s="25">
        <v>0.25555555555555554</v>
      </c>
      <c r="I9" s="26">
        <v>0.74027777777777781</v>
      </c>
      <c r="J9" s="27">
        <v>0.48402777777777778</v>
      </c>
      <c r="K9" s="25">
        <v>0.25555555555555554</v>
      </c>
      <c r="L9" s="26">
        <v>0.74027777777777781</v>
      </c>
      <c r="M9" s="27">
        <v>0.48402777777777778</v>
      </c>
      <c r="N9" s="25">
        <v>0.25347222222222221</v>
      </c>
      <c r="O9" s="26">
        <v>0.74791666666666667</v>
      </c>
      <c r="P9" s="27">
        <v>0.49444444444444446</v>
      </c>
      <c r="Q9" s="25">
        <v>0.25347222222222221</v>
      </c>
      <c r="R9" s="26">
        <v>0.74791666666666667</v>
      </c>
      <c r="S9" s="27">
        <v>0.49444444444444446</v>
      </c>
      <c r="T9" s="25">
        <v>0.25347222222222221</v>
      </c>
      <c r="U9" s="26">
        <v>0.74791666666666667</v>
      </c>
      <c r="V9" s="27">
        <v>0.49444444444444446</v>
      </c>
      <c r="W9" s="25">
        <v>0.25347222222222221</v>
      </c>
      <c r="X9" s="26">
        <v>0.74791666666666667</v>
      </c>
      <c r="Y9" s="27">
        <v>0.49444444444444446</v>
      </c>
      <c r="Z9" s="25">
        <v>0.25347222222222221</v>
      </c>
      <c r="AA9" s="26">
        <v>0.74791666666666667</v>
      </c>
      <c r="AB9" s="27">
        <v>0.49444444444444446</v>
      </c>
      <c r="AC9" s="25">
        <v>0.25555555555555554</v>
      </c>
      <c r="AD9" s="26">
        <v>0.7416666666666667</v>
      </c>
      <c r="AE9" s="27">
        <v>0.48541666666666666</v>
      </c>
      <c r="AI9" s="25">
        <v>0.25555555555555554</v>
      </c>
      <c r="AJ9" s="26">
        <v>0.7416666666666667</v>
      </c>
      <c r="AK9" s="27">
        <v>0.48541666666666666</v>
      </c>
      <c r="AL9" s="31"/>
      <c r="AM9" s="31"/>
      <c r="AO9" s="28">
        <v>0.25347222222222221</v>
      </c>
      <c r="AP9" s="29">
        <v>0.74861111111111112</v>
      </c>
      <c r="AQ9" s="30">
        <v>0.49513888888888891</v>
      </c>
      <c r="AR9" s="28">
        <v>0.25347222222222221</v>
      </c>
      <c r="AS9" s="29">
        <v>0.74861111111111112</v>
      </c>
      <c r="AT9" s="30">
        <v>0.49513888888888891</v>
      </c>
      <c r="AU9" s="28">
        <v>0.25347222222222221</v>
      </c>
      <c r="AV9" s="29">
        <v>0.74861111111111112</v>
      </c>
      <c r="AW9" s="30">
        <v>0.49513888888888891</v>
      </c>
      <c r="AX9" s="28">
        <v>0.25347222222222221</v>
      </c>
      <c r="AY9" s="29">
        <v>0.74861111111111112</v>
      </c>
      <c r="AZ9" s="30">
        <v>0.49513888888888891</v>
      </c>
      <c r="BA9" s="28">
        <v>0.25347222222222221</v>
      </c>
      <c r="BB9" s="29">
        <v>0.74861111111111112</v>
      </c>
      <c r="BC9" s="30">
        <v>0.49513888888888891</v>
      </c>
      <c r="BG9" s="25">
        <v>0.2590277777777778</v>
      </c>
      <c r="BH9" s="26">
        <v>0.73263888888888884</v>
      </c>
      <c r="BI9" s="27">
        <v>0.47291666666666665</v>
      </c>
      <c r="BJ9" s="28">
        <v>0.25347222222222221</v>
      </c>
      <c r="BK9" s="29">
        <v>0.74861111111111112</v>
      </c>
      <c r="BL9" s="30">
        <v>0.49513888888888891</v>
      </c>
      <c r="BM9" s="25">
        <v>0.2590277777777778</v>
      </c>
      <c r="BN9" s="26">
        <v>0.73263888888888884</v>
      </c>
      <c r="BO9" s="27">
        <v>0.47291666666666665</v>
      </c>
      <c r="BP9" s="28">
        <v>0.25347222222222221</v>
      </c>
      <c r="BQ9" s="29">
        <v>0.74861111111111112</v>
      </c>
      <c r="BR9" s="30">
        <v>0.49513888888888891</v>
      </c>
      <c r="BS9" s="28">
        <v>0.25347222222222221</v>
      </c>
      <c r="BT9" s="29">
        <v>0.74861111111111112</v>
      </c>
      <c r="BU9" s="30">
        <v>0.49513888888888891</v>
      </c>
      <c r="BV9" s="25">
        <v>0.25972222222222224</v>
      </c>
      <c r="BW9" s="26">
        <v>0.73263888888888884</v>
      </c>
      <c r="BX9" s="27">
        <v>0.47291666666666665</v>
      </c>
      <c r="BY9" s="25">
        <v>0.25972222222222224</v>
      </c>
      <c r="BZ9" s="26">
        <v>0.73263888888888884</v>
      </c>
      <c r="CA9" s="27">
        <v>0.47291666666666665</v>
      </c>
      <c r="CB9" s="25">
        <v>0.25972222222222224</v>
      </c>
      <c r="CC9" s="26">
        <v>0.73263888888888884</v>
      </c>
      <c r="CD9" s="27">
        <v>0.47291666666666665</v>
      </c>
      <c r="CE9" s="31"/>
      <c r="CF9" s="31"/>
      <c r="CH9" s="28">
        <v>0.24583333333333332</v>
      </c>
      <c r="CI9" s="29">
        <v>0.76736111111111116</v>
      </c>
      <c r="CJ9" s="30">
        <v>0.52083333333333337</v>
      </c>
      <c r="CK9" s="28">
        <v>0.24583333333333332</v>
      </c>
      <c r="CL9" s="29">
        <v>0.76736111111111116</v>
      </c>
      <c r="CM9" s="30">
        <v>0.52083333333333337</v>
      </c>
      <c r="CN9" s="28">
        <v>0.24583333333333332</v>
      </c>
      <c r="CO9" s="29">
        <v>0.76736111111111116</v>
      </c>
      <c r="CP9" s="30">
        <v>0.52083333333333337</v>
      </c>
      <c r="CQ9" s="28">
        <v>0.24583333333333332</v>
      </c>
      <c r="CR9" s="29">
        <v>0.76736111111111116</v>
      </c>
      <c r="CS9" s="30">
        <v>0.52083333333333337</v>
      </c>
      <c r="CT9" s="28">
        <v>0.24583333333333332</v>
      </c>
      <c r="CU9" s="29">
        <v>0.76736111111111116</v>
      </c>
      <c r="CV9" s="30">
        <v>0.52083333333333337</v>
      </c>
      <c r="CW9" s="28">
        <v>0.24583333333333332</v>
      </c>
      <c r="CX9" s="29">
        <v>0.76736111111111116</v>
      </c>
      <c r="CY9" s="30">
        <v>0.52083333333333337</v>
      </c>
      <c r="CZ9" s="28">
        <v>0.24583333333333332</v>
      </c>
      <c r="DA9" s="29">
        <v>0.76736111111111116</v>
      </c>
      <c r="DB9" s="30">
        <v>0.52083333333333337</v>
      </c>
      <c r="DC9" s="28">
        <v>0.24583333333333332</v>
      </c>
      <c r="DD9" s="29">
        <v>0.76736111111111116</v>
      </c>
      <c r="DE9" s="30">
        <v>0.52083333333333337</v>
      </c>
      <c r="DF9" s="28">
        <v>0.24583333333333332</v>
      </c>
      <c r="DG9" s="29">
        <v>0.76736111111111116</v>
      </c>
      <c r="DH9" s="30">
        <v>0.52083333333333337</v>
      </c>
      <c r="DI9" s="28">
        <v>0.24513888888888888</v>
      </c>
      <c r="DJ9" s="29">
        <v>0.76875000000000004</v>
      </c>
      <c r="DK9" s="30">
        <v>0.52361111111111114</v>
      </c>
      <c r="DL9" s="28">
        <v>0.24513888888888888</v>
      </c>
      <c r="DM9" s="29">
        <v>0.76875000000000004</v>
      </c>
      <c r="DN9" s="30">
        <v>0.52361111111111114</v>
      </c>
      <c r="DO9" s="28">
        <v>0.24513888888888888</v>
      </c>
      <c r="DP9" s="29">
        <v>0.76875000000000004</v>
      </c>
      <c r="DQ9" s="30">
        <v>0.52361111111111114</v>
      </c>
      <c r="DR9" s="28">
        <v>0.24652777777777779</v>
      </c>
      <c r="DS9" s="29">
        <v>0.76736111111111116</v>
      </c>
      <c r="DT9" s="30">
        <v>0.52083333333333337</v>
      </c>
      <c r="DU9" s="28">
        <v>0.24652777777777779</v>
      </c>
      <c r="DV9" s="29">
        <v>0.76736111111111116</v>
      </c>
      <c r="DW9" s="30">
        <v>0.52083333333333337</v>
      </c>
      <c r="DX9" s="25">
        <v>0.25972222222222224</v>
      </c>
      <c r="DY9" s="26">
        <v>0.73263888888888884</v>
      </c>
      <c r="DZ9" s="27">
        <v>0.47291666666666665</v>
      </c>
      <c r="EA9" s="25">
        <v>0.25555555555555554</v>
      </c>
      <c r="EB9" s="26">
        <v>0.7416666666666667</v>
      </c>
      <c r="EC9" s="27">
        <v>0.48541666666666666</v>
      </c>
      <c r="EG9" s="25">
        <v>0.25555555555555554</v>
      </c>
      <c r="EH9" s="26">
        <v>0.7416666666666667</v>
      </c>
      <c r="EI9" s="27">
        <v>0.48541666666666666</v>
      </c>
      <c r="EJ9" s="25">
        <v>0.25555555555555554</v>
      </c>
      <c r="EK9" s="26">
        <v>0.7416666666666667</v>
      </c>
      <c r="EL9" s="27">
        <v>0.48541666666666666</v>
      </c>
      <c r="EM9" s="25">
        <v>0.25555555555555554</v>
      </c>
      <c r="EN9" s="26">
        <v>0.7416666666666667</v>
      </c>
      <c r="EO9" s="27">
        <v>0.48541666666666666</v>
      </c>
      <c r="EP9" s="25">
        <v>0.25555555555555554</v>
      </c>
      <c r="EQ9" s="26">
        <v>0.7416666666666667</v>
      </c>
      <c r="ER9" s="27">
        <v>0.48541666666666666</v>
      </c>
    </row>
    <row r="10" spans="1:148" ht="15" thickBot="1" x14ac:dyDescent="0.35">
      <c r="B10" s="25">
        <v>0.24861111111111112</v>
      </c>
      <c r="C10" s="26">
        <v>0.7631944444444444</v>
      </c>
      <c r="D10" s="27">
        <v>0.51458333333333328</v>
      </c>
      <c r="E10" s="28">
        <v>0.25624999999999998</v>
      </c>
      <c r="F10" s="29">
        <v>0.74027777777777781</v>
      </c>
      <c r="G10" s="30">
        <v>0.48333333333333334</v>
      </c>
      <c r="H10" s="28">
        <v>0.25624999999999998</v>
      </c>
      <c r="I10" s="29">
        <v>0.74027777777777781</v>
      </c>
      <c r="J10" s="30">
        <v>0.48333333333333334</v>
      </c>
      <c r="K10" s="28">
        <v>0.25624999999999998</v>
      </c>
      <c r="L10" s="29">
        <v>0.74027777777777781</v>
      </c>
      <c r="M10" s="30">
        <v>0.48333333333333334</v>
      </c>
      <c r="N10" s="25">
        <v>0.25347222222222221</v>
      </c>
      <c r="O10" s="26">
        <v>0.74722222222222223</v>
      </c>
      <c r="P10" s="27">
        <v>0.49375000000000002</v>
      </c>
      <c r="Q10" s="25">
        <v>0.25347222222222221</v>
      </c>
      <c r="R10" s="26">
        <v>0.74722222222222223</v>
      </c>
      <c r="S10" s="27">
        <v>0.49375000000000002</v>
      </c>
      <c r="T10" s="25">
        <v>0.25347222222222221</v>
      </c>
      <c r="U10" s="26">
        <v>0.74722222222222223</v>
      </c>
      <c r="V10" s="27">
        <v>0.49375000000000002</v>
      </c>
      <c r="W10" s="25">
        <v>0.25347222222222221</v>
      </c>
      <c r="X10" s="26">
        <v>0.74722222222222223</v>
      </c>
      <c r="Y10" s="27">
        <v>0.49375000000000002</v>
      </c>
      <c r="Z10" s="25">
        <v>0.25347222222222221</v>
      </c>
      <c r="AA10" s="26">
        <v>0.74722222222222223</v>
      </c>
      <c r="AB10" s="27">
        <v>0.49375000000000002</v>
      </c>
      <c r="AC10" s="28">
        <v>0.25555555555555554</v>
      </c>
      <c r="AD10" s="29">
        <v>0.74097222222222225</v>
      </c>
      <c r="AE10" s="30">
        <v>0.48472222222222222</v>
      </c>
      <c r="AI10" s="28">
        <v>0.25555555555555554</v>
      </c>
      <c r="AJ10" s="29">
        <v>0.74097222222222225</v>
      </c>
      <c r="AK10" s="30">
        <v>0.48472222222222222</v>
      </c>
      <c r="AL10" s="32"/>
      <c r="AM10" s="32"/>
      <c r="AO10" s="28">
        <v>0.25347222222222221</v>
      </c>
      <c r="AP10" s="29">
        <v>0.74791666666666667</v>
      </c>
      <c r="AQ10" s="30">
        <v>0.49444444444444446</v>
      </c>
      <c r="AU10" s="28">
        <v>0.25347222222222221</v>
      </c>
      <c r="AV10" s="29">
        <v>0.74791666666666667</v>
      </c>
      <c r="AW10" s="30">
        <v>0.49444444444444446</v>
      </c>
      <c r="AX10" s="28">
        <v>0.25347222222222221</v>
      </c>
      <c r="AY10" s="29">
        <v>0.74791666666666667</v>
      </c>
      <c r="AZ10" s="30">
        <v>0.49444444444444446</v>
      </c>
      <c r="BA10" s="28">
        <v>0.25347222222222221</v>
      </c>
      <c r="BB10" s="29">
        <v>0.74791666666666667</v>
      </c>
      <c r="BC10" s="30">
        <v>0.49444444444444446</v>
      </c>
      <c r="BG10" s="28"/>
      <c r="BH10" s="29"/>
      <c r="BI10" s="30"/>
      <c r="BJ10" s="28">
        <v>0.25347222222222221</v>
      </c>
      <c r="BK10" s="29">
        <v>0.74791666666666667</v>
      </c>
      <c r="BL10" s="30">
        <v>0.49444444444444446</v>
      </c>
      <c r="BM10" s="28">
        <v>0.25972222222222224</v>
      </c>
      <c r="BN10" s="29">
        <v>0.7319444444444444</v>
      </c>
      <c r="BO10" s="30">
        <v>0.47222222222222221</v>
      </c>
      <c r="BP10" s="28">
        <v>0.25347222222222221</v>
      </c>
      <c r="BQ10" s="29">
        <v>0.74791666666666667</v>
      </c>
      <c r="BR10" s="30">
        <v>0.49444444444444446</v>
      </c>
      <c r="BS10" s="28">
        <v>0.25347222222222221</v>
      </c>
      <c r="BT10" s="29">
        <v>0.74791666666666667</v>
      </c>
      <c r="BU10" s="30">
        <v>0.49444444444444446</v>
      </c>
      <c r="BV10" s="25">
        <v>0.25972222222222224</v>
      </c>
      <c r="BW10" s="26">
        <v>0.73263888888888884</v>
      </c>
      <c r="BX10" s="27">
        <v>0.47222222222222221</v>
      </c>
      <c r="BY10" s="25">
        <v>0.25972222222222224</v>
      </c>
      <c r="BZ10" s="26">
        <v>0.73263888888888884</v>
      </c>
      <c r="CA10" s="27">
        <v>0.47222222222222221</v>
      </c>
      <c r="CB10" s="25">
        <v>0.25972222222222224</v>
      </c>
      <c r="CC10" s="26">
        <v>0.73263888888888884</v>
      </c>
      <c r="CD10" s="27">
        <v>0.47222222222222221</v>
      </c>
      <c r="CE10" s="31"/>
      <c r="CF10" s="31"/>
      <c r="CH10" s="25">
        <v>0.24652777777777779</v>
      </c>
      <c r="CI10" s="26">
        <v>0.76666666666666672</v>
      </c>
      <c r="CJ10" s="27">
        <v>0.52013888888888893</v>
      </c>
      <c r="CK10" s="25">
        <v>0.24652777777777779</v>
      </c>
      <c r="CL10" s="26">
        <v>0.76666666666666672</v>
      </c>
      <c r="CM10" s="27">
        <v>0.52013888888888893</v>
      </c>
      <c r="CN10" s="25">
        <v>0.24652777777777779</v>
      </c>
      <c r="CO10" s="26">
        <v>0.76666666666666672</v>
      </c>
      <c r="CP10" s="27">
        <v>0.52013888888888893</v>
      </c>
      <c r="CQ10" s="25">
        <v>0.24652777777777779</v>
      </c>
      <c r="CR10" s="26">
        <v>0.76666666666666672</v>
      </c>
      <c r="CS10" s="27">
        <v>0.52013888888888893</v>
      </c>
      <c r="CT10" s="25">
        <v>0.24652777777777779</v>
      </c>
      <c r="CU10" s="26">
        <v>0.76666666666666672</v>
      </c>
      <c r="CV10" s="27">
        <v>0.52013888888888893</v>
      </c>
      <c r="CW10" s="25">
        <v>0.24652777777777779</v>
      </c>
      <c r="CX10" s="26">
        <v>0.76666666666666672</v>
      </c>
      <c r="CY10" s="27">
        <v>0.52013888888888893</v>
      </c>
      <c r="CZ10" s="25">
        <v>0.24652777777777779</v>
      </c>
      <c r="DA10" s="26">
        <v>0.76666666666666672</v>
      </c>
      <c r="DB10" s="27">
        <v>0.52013888888888893</v>
      </c>
      <c r="DC10" s="25">
        <v>0.24652777777777779</v>
      </c>
      <c r="DD10" s="26">
        <v>0.76666666666666672</v>
      </c>
      <c r="DE10" s="27">
        <v>0.52013888888888893</v>
      </c>
      <c r="DF10" s="25">
        <v>0.24652777777777779</v>
      </c>
      <c r="DG10" s="26">
        <v>0.76666666666666672</v>
      </c>
      <c r="DH10" s="27">
        <v>0.52013888888888893</v>
      </c>
      <c r="DI10" s="25">
        <v>0.24513888888888888</v>
      </c>
      <c r="DJ10" s="26">
        <v>0.76875000000000004</v>
      </c>
      <c r="DK10" s="27">
        <v>0.5229166666666667</v>
      </c>
      <c r="DL10" s="25">
        <v>0.24513888888888888</v>
      </c>
      <c r="DM10" s="26">
        <v>0.76875000000000004</v>
      </c>
      <c r="DN10" s="27">
        <v>0.5229166666666667</v>
      </c>
      <c r="DO10" s="25">
        <v>0.24513888888888888</v>
      </c>
      <c r="DP10" s="26">
        <v>0.76875000000000004</v>
      </c>
      <c r="DQ10" s="27">
        <v>0.5229166666666667</v>
      </c>
      <c r="DR10" s="25">
        <v>0.24652777777777779</v>
      </c>
      <c r="DS10" s="26">
        <v>0.76666666666666672</v>
      </c>
      <c r="DT10" s="27">
        <v>0.52013888888888893</v>
      </c>
      <c r="DU10" s="25">
        <v>0.24652777777777779</v>
      </c>
      <c r="DV10" s="26">
        <v>0.76666666666666672</v>
      </c>
      <c r="DW10" s="27">
        <v>0.52013888888888893</v>
      </c>
      <c r="DX10" s="28">
        <v>0.25972222222222224</v>
      </c>
      <c r="DY10" s="29">
        <v>0.73263888888888884</v>
      </c>
      <c r="DZ10" s="30">
        <v>0.47222222222222221</v>
      </c>
      <c r="EA10" s="28">
        <v>0.25555555555555554</v>
      </c>
      <c r="EB10" s="29">
        <v>0.74097222222222225</v>
      </c>
      <c r="EC10" s="30">
        <v>0.48472222222222222</v>
      </c>
      <c r="EJ10" s="28">
        <v>0.25555555555555554</v>
      </c>
      <c r="EK10" s="29">
        <v>0.74097222222222225</v>
      </c>
      <c r="EL10" s="30">
        <v>0.48472222222222222</v>
      </c>
      <c r="EM10" s="28">
        <v>0.25555555555555554</v>
      </c>
      <c r="EN10" s="29">
        <v>0.74097222222222225</v>
      </c>
      <c r="EO10" s="30">
        <v>0.48472222222222222</v>
      </c>
      <c r="EP10" s="28">
        <v>0.25555555555555554</v>
      </c>
      <c r="EQ10" s="29">
        <v>0.74097222222222225</v>
      </c>
      <c r="ER10" s="30">
        <v>0.48472222222222222</v>
      </c>
    </row>
    <row r="11" spans="1:148" ht="15" thickBot="1" x14ac:dyDescent="0.35">
      <c r="AI11" s="25">
        <v>0.25555555555555554</v>
      </c>
      <c r="AJ11" s="26">
        <v>0.74027777777777781</v>
      </c>
      <c r="AK11" s="27">
        <v>0.48402777777777778</v>
      </c>
      <c r="AL11" s="31"/>
      <c r="AM11" s="31"/>
      <c r="AU11" s="25">
        <v>0.25347222222222221</v>
      </c>
      <c r="AV11" s="26">
        <v>0.74722222222222223</v>
      </c>
      <c r="AW11" s="27">
        <v>0.49375000000000002</v>
      </c>
      <c r="BG11" s="25"/>
      <c r="BH11" s="26"/>
      <c r="BI11" s="27"/>
      <c r="BM11" s="25">
        <v>0.25972222222222224</v>
      </c>
      <c r="BN11" s="26">
        <v>0.7319444444444444</v>
      </c>
      <c r="BO11" s="27">
        <v>0.47222222222222221</v>
      </c>
      <c r="BP11" s="25">
        <v>0.25347222222222221</v>
      </c>
      <c r="BQ11" s="26">
        <v>0.74722222222222223</v>
      </c>
      <c r="BR11" s="27">
        <v>0.49375000000000002</v>
      </c>
      <c r="BS11" s="25"/>
      <c r="BT11" s="26"/>
      <c r="BU11" s="27"/>
      <c r="DC11" s="28">
        <v>0.24652777777777779</v>
      </c>
      <c r="DD11" s="29">
        <v>0.76597222222222228</v>
      </c>
      <c r="DE11" s="30">
        <v>0.51944444444444449</v>
      </c>
      <c r="DF11" s="28">
        <v>0.24652777777777779</v>
      </c>
      <c r="DG11" s="29">
        <v>0.76597222222222228</v>
      </c>
      <c r="DH11" s="30">
        <v>0.51944444444444449</v>
      </c>
      <c r="DR11" s="25">
        <v>0.24652777777777779</v>
      </c>
      <c r="DS11" s="26">
        <v>0.76666666666666672</v>
      </c>
      <c r="DT11" s="27">
        <v>0.51944444444444449</v>
      </c>
      <c r="DX11" s="25">
        <v>0.25972222222222224</v>
      </c>
      <c r="DY11" s="26">
        <v>0.7319444444444444</v>
      </c>
      <c r="DZ11" s="27">
        <v>0.47152777777777777</v>
      </c>
      <c r="EA11" s="31"/>
      <c r="EB11" s="31"/>
      <c r="EJ11" s="25">
        <v>0.25555555555555554</v>
      </c>
      <c r="EK11" s="26">
        <v>0.74027777777777781</v>
      </c>
      <c r="EL11" s="27">
        <v>0.48402777777777778</v>
      </c>
      <c r="EM11" s="25">
        <v>0.25555555555555554</v>
      </c>
      <c r="EN11" s="26">
        <v>0.74027777777777781</v>
      </c>
      <c r="EO11" s="27">
        <v>0.48402777777777778</v>
      </c>
      <c r="EP11" s="25">
        <v>0.25555555555555554</v>
      </c>
      <c r="EQ11" s="26">
        <v>0.74027777777777781</v>
      </c>
      <c r="ER11" s="27">
        <v>0.48402777777777778</v>
      </c>
    </row>
    <row r="12" spans="1:148" ht="15" thickBot="1" x14ac:dyDescent="0.35">
      <c r="EJ12" s="28">
        <v>0.25624999999999998</v>
      </c>
      <c r="EK12" s="29">
        <v>0.74027777777777781</v>
      </c>
      <c r="EL12" s="30">
        <v>0.48402777777777778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E3C0-1854-477C-87FB-A5DD7B21BDB1}">
  <dimension ref="A1:CW142"/>
  <sheetViews>
    <sheetView topLeftCell="AN1" zoomScale="85" zoomScaleNormal="85" workbookViewId="0">
      <selection activeCell="C14" sqref="C14"/>
    </sheetView>
  </sheetViews>
  <sheetFormatPr baseColWidth="10" defaultRowHeight="14.4" x14ac:dyDescent="0.3"/>
  <cols>
    <col min="20" max="20" width="18.44140625" customWidth="1"/>
  </cols>
  <sheetData>
    <row r="1" spans="1:51" x14ac:dyDescent="0.3">
      <c r="A1" t="s">
        <v>14</v>
      </c>
      <c r="B1" s="4" t="s">
        <v>53</v>
      </c>
      <c r="C1" t="s">
        <v>0</v>
      </c>
      <c r="D1" s="4" t="s">
        <v>68</v>
      </c>
      <c r="E1" t="s">
        <v>72</v>
      </c>
      <c r="F1" s="4" t="s">
        <v>16</v>
      </c>
      <c r="G1" t="s">
        <v>76</v>
      </c>
      <c r="H1" s="4" t="s">
        <v>80</v>
      </c>
      <c r="I1" t="s">
        <v>84</v>
      </c>
      <c r="J1" s="4" t="s">
        <v>88</v>
      </c>
      <c r="K1" t="s">
        <v>92</v>
      </c>
      <c r="L1" s="4" t="s">
        <v>20</v>
      </c>
      <c r="M1" t="s">
        <v>95</v>
      </c>
      <c r="N1" s="4" t="s">
        <v>101</v>
      </c>
      <c r="O1" t="s">
        <v>105</v>
      </c>
      <c r="P1" s="4" t="s">
        <v>27</v>
      </c>
      <c r="Q1" t="s">
        <v>109</v>
      </c>
      <c r="R1" s="4" t="s">
        <v>114</v>
      </c>
      <c r="S1" t="s">
        <v>119</v>
      </c>
      <c r="T1" s="4" t="s">
        <v>124</v>
      </c>
      <c r="U1" t="s">
        <v>128</v>
      </c>
      <c r="V1" s="4" t="s">
        <v>132</v>
      </c>
      <c r="W1" t="s">
        <v>138</v>
      </c>
      <c r="X1" s="4" t="s">
        <v>141</v>
      </c>
      <c r="Y1" t="s">
        <v>146</v>
      </c>
      <c r="Z1" s="4" t="s">
        <v>150</v>
      </c>
      <c r="AA1" t="s">
        <v>28</v>
      </c>
      <c r="AB1" s="4" t="s">
        <v>154</v>
      </c>
      <c r="AC1" t="s">
        <v>158</v>
      </c>
      <c r="AD1" s="4" t="s">
        <v>163</v>
      </c>
      <c r="AE1" t="s">
        <v>164</v>
      </c>
      <c r="AF1" s="4" t="s">
        <v>165</v>
      </c>
      <c r="AG1" t="s">
        <v>36</v>
      </c>
      <c r="AH1" s="4" t="s">
        <v>166</v>
      </c>
      <c r="AI1" t="s">
        <v>167</v>
      </c>
      <c r="AJ1" s="4" t="s">
        <v>171</v>
      </c>
      <c r="AK1" t="s">
        <v>186</v>
      </c>
      <c r="AL1" s="4" t="s">
        <v>187</v>
      </c>
      <c r="AM1" t="s">
        <v>195</v>
      </c>
      <c r="AN1" s="4" t="s">
        <v>199</v>
      </c>
      <c r="AO1" t="s">
        <v>32</v>
      </c>
      <c r="AP1" s="4" t="s">
        <v>203</v>
      </c>
      <c r="AQ1" t="s">
        <v>40</v>
      </c>
      <c r="AR1" s="4" t="s">
        <v>47</v>
      </c>
      <c r="AS1" t="s">
        <v>212</v>
      </c>
      <c r="AT1" s="4" t="s">
        <v>213</v>
      </c>
      <c r="AU1" t="s">
        <v>214</v>
      </c>
      <c r="AV1" s="4" t="s">
        <v>43</v>
      </c>
      <c r="AW1" t="s">
        <v>215</v>
      </c>
      <c r="AX1" s="21" t="s">
        <v>216</v>
      </c>
      <c r="AY1" t="s">
        <v>515</v>
      </c>
    </row>
    <row r="2" spans="1:51" x14ac:dyDescent="0.3">
      <c r="A2" t="s">
        <v>8</v>
      </c>
      <c r="B2" s="22">
        <v>45349</v>
      </c>
      <c r="C2" s="1">
        <v>45394</v>
      </c>
      <c r="D2" s="22">
        <v>45394</v>
      </c>
      <c r="E2" s="1">
        <v>45394</v>
      </c>
      <c r="F2" s="22">
        <v>45379</v>
      </c>
      <c r="G2" s="1">
        <v>45379</v>
      </c>
      <c r="H2" s="22">
        <v>45379</v>
      </c>
      <c r="I2" s="1">
        <v>45379</v>
      </c>
      <c r="J2" s="22">
        <v>45379</v>
      </c>
      <c r="K2" s="1">
        <v>45392</v>
      </c>
      <c r="L2" s="22">
        <v>45392</v>
      </c>
      <c r="M2" s="1">
        <v>45392</v>
      </c>
      <c r="N2" s="22">
        <v>45392</v>
      </c>
      <c r="O2" s="1">
        <v>45378</v>
      </c>
      <c r="P2" s="22">
        <v>45378</v>
      </c>
      <c r="Q2" s="1">
        <v>45378</v>
      </c>
      <c r="R2" s="22">
        <v>45378</v>
      </c>
      <c r="S2" s="1">
        <v>45378</v>
      </c>
      <c r="T2" s="22">
        <v>45378</v>
      </c>
      <c r="U2" s="1">
        <v>45414</v>
      </c>
      <c r="V2" s="22">
        <v>45378</v>
      </c>
      <c r="W2" s="1">
        <v>45414</v>
      </c>
      <c r="X2" s="22">
        <v>45378</v>
      </c>
      <c r="Y2" s="1">
        <v>45378</v>
      </c>
      <c r="Z2" s="22">
        <v>45414</v>
      </c>
      <c r="AA2" s="1">
        <v>45414</v>
      </c>
      <c r="AB2" s="22">
        <v>45414</v>
      </c>
      <c r="AC2" s="1">
        <v>45414</v>
      </c>
      <c r="AD2" s="22">
        <v>45341</v>
      </c>
      <c r="AE2" s="1">
        <v>45341</v>
      </c>
      <c r="AF2" s="22">
        <v>45341</v>
      </c>
      <c r="AG2" s="1">
        <v>45341</v>
      </c>
      <c r="AH2" s="22">
        <v>45341</v>
      </c>
      <c r="AI2" s="1">
        <v>45341</v>
      </c>
      <c r="AJ2" s="22">
        <v>45341</v>
      </c>
      <c r="AK2" s="1">
        <v>45341</v>
      </c>
      <c r="AL2" s="22">
        <v>45341</v>
      </c>
      <c r="AM2" s="1">
        <v>45337</v>
      </c>
      <c r="AN2" s="22">
        <v>45337</v>
      </c>
      <c r="AO2" s="1">
        <v>45337</v>
      </c>
      <c r="AP2" s="22">
        <v>45341</v>
      </c>
      <c r="AQ2" s="1">
        <v>45341</v>
      </c>
      <c r="AR2" s="22">
        <v>45414</v>
      </c>
      <c r="AS2" s="1">
        <v>45392</v>
      </c>
      <c r="AT2" s="22">
        <v>45392</v>
      </c>
      <c r="AU2" s="1">
        <v>45392</v>
      </c>
      <c r="AV2" s="22">
        <v>45392</v>
      </c>
      <c r="AW2" s="1">
        <v>45392</v>
      </c>
      <c r="AX2" s="23">
        <v>45392</v>
      </c>
      <c r="AY2" s="1">
        <v>45337</v>
      </c>
    </row>
    <row r="3" spans="1:51" x14ac:dyDescent="0.3">
      <c r="A3" t="s">
        <v>9</v>
      </c>
      <c r="B3" s="22">
        <v>45354</v>
      </c>
      <c r="C3" s="1">
        <v>45399</v>
      </c>
      <c r="D3" s="22">
        <v>45399</v>
      </c>
      <c r="E3" s="1">
        <v>45399</v>
      </c>
      <c r="F3" s="22">
        <v>45384</v>
      </c>
      <c r="G3" s="1">
        <v>45384</v>
      </c>
      <c r="H3" s="22">
        <v>45384</v>
      </c>
      <c r="I3" s="1">
        <v>45384</v>
      </c>
      <c r="J3" s="22">
        <v>45384</v>
      </c>
      <c r="K3" s="1">
        <v>45397</v>
      </c>
      <c r="L3" s="22">
        <v>45395</v>
      </c>
      <c r="M3" s="1">
        <v>45398</v>
      </c>
      <c r="N3" s="22">
        <v>45395</v>
      </c>
      <c r="O3" s="1">
        <v>45383</v>
      </c>
      <c r="P3" s="22">
        <v>45382</v>
      </c>
      <c r="Q3" s="1">
        <v>45384</v>
      </c>
      <c r="R3" s="22">
        <v>45383</v>
      </c>
      <c r="S3" s="1">
        <v>45383</v>
      </c>
      <c r="T3" s="22">
        <v>45381</v>
      </c>
      <c r="U3" s="1">
        <v>45418</v>
      </c>
      <c r="V3" s="22">
        <v>45383</v>
      </c>
      <c r="W3" s="1">
        <v>45420</v>
      </c>
      <c r="X3" s="22">
        <v>45384</v>
      </c>
      <c r="Y3" s="1">
        <v>45383</v>
      </c>
      <c r="Z3" s="22">
        <v>45419</v>
      </c>
      <c r="AA3" s="1">
        <v>45419</v>
      </c>
      <c r="AB3" s="22">
        <v>45419</v>
      </c>
      <c r="AC3" s="1">
        <v>45417</v>
      </c>
      <c r="AD3" s="22">
        <v>45346</v>
      </c>
      <c r="AE3" s="1">
        <v>45346</v>
      </c>
      <c r="AF3" s="22">
        <v>45346</v>
      </c>
      <c r="AG3" s="1">
        <v>45346</v>
      </c>
      <c r="AH3" s="22">
        <v>45346</v>
      </c>
      <c r="AI3" s="1">
        <v>45346</v>
      </c>
      <c r="AJ3" s="22">
        <v>45346</v>
      </c>
      <c r="AK3" s="1">
        <v>45347</v>
      </c>
      <c r="AL3" s="22">
        <v>45347</v>
      </c>
      <c r="AM3" s="1">
        <v>45342</v>
      </c>
      <c r="AN3" s="22">
        <v>45342</v>
      </c>
      <c r="AO3" s="1">
        <v>45342</v>
      </c>
      <c r="AP3" s="22">
        <v>45347</v>
      </c>
      <c r="AQ3" s="1">
        <v>45346</v>
      </c>
      <c r="AR3" s="22">
        <v>45420</v>
      </c>
      <c r="AS3" s="1">
        <v>45397</v>
      </c>
      <c r="AT3" s="22">
        <v>45393</v>
      </c>
      <c r="AU3" s="1">
        <v>45396</v>
      </c>
      <c r="AV3" s="22">
        <v>45399</v>
      </c>
      <c r="AW3" s="1">
        <v>45398</v>
      </c>
      <c r="AX3" s="23">
        <v>45398</v>
      </c>
      <c r="AY3" s="1">
        <v>45343</v>
      </c>
    </row>
    <row r="4" spans="1:51" x14ac:dyDescent="0.3">
      <c r="A4" t="s">
        <v>319</v>
      </c>
      <c r="B4" t="s">
        <v>320</v>
      </c>
      <c r="C4" t="s">
        <v>321</v>
      </c>
      <c r="D4" t="s">
        <v>321</v>
      </c>
      <c r="E4" t="s">
        <v>321</v>
      </c>
      <c r="F4" t="s">
        <v>323</v>
      </c>
      <c r="G4" t="s">
        <v>323</v>
      </c>
      <c r="H4" t="s">
        <v>323</v>
      </c>
      <c r="I4" t="s">
        <v>323</v>
      </c>
      <c r="J4" t="s">
        <v>323</v>
      </c>
      <c r="K4" t="s">
        <v>322</v>
      </c>
      <c r="L4" t="s">
        <v>322</v>
      </c>
      <c r="M4" t="s">
        <v>322</v>
      </c>
      <c r="N4" t="s">
        <v>322</v>
      </c>
      <c r="O4" t="s">
        <v>326</v>
      </c>
      <c r="P4" t="s">
        <v>326</v>
      </c>
      <c r="Q4" t="s">
        <v>326</v>
      </c>
      <c r="R4" t="s">
        <v>326</v>
      </c>
      <c r="S4" t="s">
        <v>326</v>
      </c>
      <c r="T4" t="s">
        <v>326</v>
      </c>
      <c r="U4" t="s">
        <v>326</v>
      </c>
      <c r="V4" t="s">
        <v>326</v>
      </c>
      <c r="W4" t="s">
        <v>326</v>
      </c>
      <c r="X4" t="s">
        <v>326</v>
      </c>
      <c r="Y4" t="s">
        <v>326</v>
      </c>
      <c r="Z4" t="s">
        <v>150</v>
      </c>
      <c r="AA4" t="s">
        <v>150</v>
      </c>
      <c r="AB4" t="s">
        <v>150</v>
      </c>
      <c r="AC4" t="s">
        <v>150</v>
      </c>
      <c r="AD4" t="s">
        <v>327</v>
      </c>
      <c r="AE4" t="s">
        <v>327</v>
      </c>
      <c r="AF4" t="s">
        <v>327</v>
      </c>
      <c r="AG4" t="s">
        <v>327</v>
      </c>
      <c r="AH4" t="s">
        <v>327</v>
      </c>
      <c r="AI4" t="s">
        <v>327</v>
      </c>
      <c r="AJ4" t="s">
        <v>327</v>
      </c>
      <c r="AK4" t="s">
        <v>327</v>
      </c>
      <c r="AL4" t="s">
        <v>327</v>
      </c>
      <c r="AM4" t="s">
        <v>229</v>
      </c>
      <c r="AN4" t="s">
        <v>229</v>
      </c>
      <c r="AO4" t="s">
        <v>229</v>
      </c>
      <c r="AP4" t="s">
        <v>327</v>
      </c>
      <c r="AQ4" t="s">
        <v>327</v>
      </c>
      <c r="AR4" t="s">
        <v>331</v>
      </c>
      <c r="AS4" t="s">
        <v>331</v>
      </c>
      <c r="AT4" t="s">
        <v>331</v>
      </c>
      <c r="AU4" t="s">
        <v>331</v>
      </c>
      <c r="AV4" t="s">
        <v>331</v>
      </c>
      <c r="AW4" t="s">
        <v>331</v>
      </c>
      <c r="AX4" t="s">
        <v>331</v>
      </c>
      <c r="AY4" t="s">
        <v>229</v>
      </c>
    </row>
    <row r="5" spans="1:51" x14ac:dyDescent="0.3">
      <c r="B5">
        <v>9.5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  <c r="M5">
        <v>2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6.5</v>
      </c>
      <c r="AE5">
        <v>6.5</v>
      </c>
      <c r="AF5">
        <v>6.5</v>
      </c>
      <c r="AG5">
        <v>6.5</v>
      </c>
      <c r="AH5">
        <v>6.5</v>
      </c>
      <c r="AI5">
        <v>6.5</v>
      </c>
      <c r="AJ5">
        <v>6.5</v>
      </c>
      <c r="AK5">
        <v>6.5</v>
      </c>
      <c r="AL5">
        <v>6.5</v>
      </c>
      <c r="AM5">
        <v>1.8</v>
      </c>
      <c r="AN5">
        <v>1.8</v>
      </c>
      <c r="AO5">
        <v>1.8</v>
      </c>
      <c r="AP5">
        <v>6.5</v>
      </c>
      <c r="AQ5">
        <v>6.5</v>
      </c>
      <c r="AR5">
        <v>0.1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1.8</v>
      </c>
    </row>
    <row r="6" spans="1:51" x14ac:dyDescent="0.3">
      <c r="B6">
        <v>2.2000000000000002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0.2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0.3</v>
      </c>
      <c r="AE6">
        <v>0.3</v>
      </c>
      <c r="AF6">
        <v>0.3</v>
      </c>
      <c r="AG6">
        <v>0.3</v>
      </c>
      <c r="AH6">
        <v>0.3</v>
      </c>
      <c r="AI6">
        <v>0.3</v>
      </c>
      <c r="AJ6">
        <v>0.3</v>
      </c>
      <c r="AK6">
        <v>0.3</v>
      </c>
      <c r="AL6">
        <v>0.3</v>
      </c>
      <c r="AM6">
        <v>0</v>
      </c>
      <c r="AN6">
        <v>0</v>
      </c>
      <c r="AO6">
        <v>0</v>
      </c>
      <c r="AP6">
        <v>0.3</v>
      </c>
      <c r="AQ6">
        <v>0.3</v>
      </c>
      <c r="AR6">
        <v>0</v>
      </c>
      <c r="AS6">
        <v>3.1</v>
      </c>
      <c r="AT6">
        <v>3.1</v>
      </c>
      <c r="AU6">
        <v>3.1</v>
      </c>
      <c r="AV6">
        <v>3.1</v>
      </c>
      <c r="AW6">
        <v>3.1</v>
      </c>
      <c r="AX6">
        <v>3.1</v>
      </c>
      <c r="AY6">
        <v>0</v>
      </c>
    </row>
    <row r="7" spans="1:51" x14ac:dyDescent="0.3">
      <c r="B7">
        <v>1</v>
      </c>
      <c r="C7">
        <v>0.4</v>
      </c>
      <c r="D7">
        <v>0.4</v>
      </c>
      <c r="E7">
        <v>0.4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</v>
      </c>
      <c r="V7">
        <v>0</v>
      </c>
      <c r="W7">
        <v>0.2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0.9</v>
      </c>
      <c r="AE7">
        <v>0.9</v>
      </c>
      <c r="AF7">
        <v>0.9</v>
      </c>
      <c r="AG7">
        <v>0.9</v>
      </c>
      <c r="AH7">
        <v>0.9</v>
      </c>
      <c r="AI7">
        <v>0.9</v>
      </c>
      <c r="AJ7">
        <v>0.9</v>
      </c>
      <c r="AK7">
        <v>0.9</v>
      </c>
      <c r="AL7">
        <v>0.9</v>
      </c>
      <c r="AM7">
        <v>0</v>
      </c>
      <c r="AN7">
        <v>0</v>
      </c>
      <c r="AO7">
        <v>0</v>
      </c>
      <c r="AP7">
        <v>0.9</v>
      </c>
      <c r="AQ7">
        <v>0.9</v>
      </c>
      <c r="AR7">
        <v>0.2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3">
      <c r="B8">
        <v>0.2</v>
      </c>
      <c r="C8">
        <v>0</v>
      </c>
      <c r="D8">
        <v>0</v>
      </c>
      <c r="E8">
        <v>0</v>
      </c>
      <c r="F8">
        <v>24.6</v>
      </c>
      <c r="G8">
        <v>24.6</v>
      </c>
      <c r="H8">
        <v>24.6</v>
      </c>
      <c r="I8">
        <v>24.6</v>
      </c>
      <c r="J8">
        <v>24.6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">
      <c r="B9">
        <v>3.4</v>
      </c>
      <c r="C9">
        <v>0</v>
      </c>
      <c r="D9">
        <v>0</v>
      </c>
      <c r="E9">
        <v>0</v>
      </c>
      <c r="F9">
        <v>0.6</v>
      </c>
      <c r="G9">
        <v>0.6</v>
      </c>
      <c r="H9">
        <v>0.6</v>
      </c>
      <c r="I9">
        <v>0.6</v>
      </c>
      <c r="J9">
        <v>0.6</v>
      </c>
      <c r="K9">
        <v>0</v>
      </c>
      <c r="M9">
        <v>0</v>
      </c>
      <c r="O9">
        <v>2</v>
      </c>
      <c r="P9">
        <v>2</v>
      </c>
      <c r="Q9">
        <v>2</v>
      </c>
      <c r="R9">
        <v>2</v>
      </c>
      <c r="S9">
        <v>2</v>
      </c>
      <c r="U9">
        <v>0</v>
      </c>
      <c r="V9">
        <v>2</v>
      </c>
      <c r="W9">
        <v>0</v>
      </c>
      <c r="X9">
        <v>2</v>
      </c>
      <c r="Y9">
        <v>2</v>
      </c>
      <c r="Z9">
        <v>0</v>
      </c>
      <c r="AA9">
        <v>0</v>
      </c>
      <c r="AB9">
        <v>0</v>
      </c>
      <c r="AD9">
        <v>4.5</v>
      </c>
      <c r="AE9">
        <v>4.5</v>
      </c>
      <c r="AF9">
        <v>4.5</v>
      </c>
      <c r="AG9">
        <v>4.5</v>
      </c>
      <c r="AH9">
        <v>4.5</v>
      </c>
      <c r="AI9">
        <v>4.5</v>
      </c>
      <c r="AJ9">
        <v>4.5</v>
      </c>
      <c r="AK9">
        <v>4.5</v>
      </c>
      <c r="AL9">
        <v>4.5</v>
      </c>
      <c r="AM9">
        <v>6.4</v>
      </c>
      <c r="AN9">
        <v>6.4</v>
      </c>
      <c r="AO9">
        <v>6.4</v>
      </c>
      <c r="AP9">
        <v>4.5</v>
      </c>
      <c r="AQ9">
        <v>4.5</v>
      </c>
      <c r="AR9">
        <v>0</v>
      </c>
      <c r="AS9">
        <v>0</v>
      </c>
      <c r="AU9">
        <v>0</v>
      </c>
      <c r="AV9">
        <v>0</v>
      </c>
      <c r="AW9">
        <v>0</v>
      </c>
      <c r="AX9">
        <v>0</v>
      </c>
      <c r="AY9">
        <v>6.4</v>
      </c>
    </row>
    <row r="10" spans="1:51" x14ac:dyDescent="0.3">
      <c r="B10">
        <v>0.4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O10">
        <v>0.6</v>
      </c>
      <c r="Q10">
        <v>0.6</v>
      </c>
      <c r="R10">
        <v>0.6</v>
      </c>
      <c r="V10">
        <v>0.6</v>
      </c>
      <c r="W10">
        <v>0</v>
      </c>
      <c r="X10">
        <v>0.6</v>
      </c>
      <c r="Y10">
        <v>0.6</v>
      </c>
      <c r="Z10">
        <v>0</v>
      </c>
      <c r="AA10">
        <v>0</v>
      </c>
      <c r="AB10">
        <v>0</v>
      </c>
      <c r="AD10">
        <v>10.199999999999999</v>
      </c>
      <c r="AE10">
        <v>10.199999999999999</v>
      </c>
      <c r="AF10">
        <v>10.199999999999999</v>
      </c>
      <c r="AG10">
        <v>10.199999999999999</v>
      </c>
      <c r="AH10">
        <v>10.199999999999999</v>
      </c>
      <c r="AI10">
        <v>10.199999999999999</v>
      </c>
      <c r="AJ10">
        <v>10.199999999999999</v>
      </c>
      <c r="AK10">
        <v>10.199999999999999</v>
      </c>
      <c r="AL10">
        <v>10.199999999999999</v>
      </c>
      <c r="AM10">
        <v>0</v>
      </c>
      <c r="AN10">
        <v>0</v>
      </c>
      <c r="AO10">
        <v>0</v>
      </c>
      <c r="AP10">
        <v>10.199999999999999</v>
      </c>
      <c r="AQ10">
        <v>10.199999999999999</v>
      </c>
      <c r="AR10">
        <v>0</v>
      </c>
      <c r="AS10">
        <v>2</v>
      </c>
      <c r="AV10">
        <v>2</v>
      </c>
      <c r="AW10">
        <v>2</v>
      </c>
      <c r="AX10">
        <v>2</v>
      </c>
      <c r="AY10">
        <v>0</v>
      </c>
    </row>
    <row r="11" spans="1:51" x14ac:dyDescent="0.3">
      <c r="F11" t="s">
        <v>324</v>
      </c>
      <c r="G11" t="s">
        <v>324</v>
      </c>
      <c r="H11" t="s">
        <v>324</v>
      </c>
      <c r="I11" t="s">
        <v>324</v>
      </c>
      <c r="J11" t="s">
        <v>324</v>
      </c>
      <c r="M11">
        <v>0</v>
      </c>
      <c r="Q11">
        <v>0</v>
      </c>
      <c r="W11">
        <v>0</v>
      </c>
      <c r="X11">
        <v>0</v>
      </c>
      <c r="Z11" t="s">
        <v>28</v>
      </c>
      <c r="AA11" t="s">
        <v>28</v>
      </c>
      <c r="AB11" t="s">
        <v>28</v>
      </c>
      <c r="AC11" t="s">
        <v>28</v>
      </c>
      <c r="AD11" t="s">
        <v>328</v>
      </c>
      <c r="AE11" t="s">
        <v>328</v>
      </c>
      <c r="AF11" t="s">
        <v>328</v>
      </c>
      <c r="AG11" t="s">
        <v>328</v>
      </c>
      <c r="AH11" t="s">
        <v>328</v>
      </c>
      <c r="AI11" t="s">
        <v>328</v>
      </c>
      <c r="AJ11" t="s">
        <v>328</v>
      </c>
      <c r="AK11" t="s">
        <v>328</v>
      </c>
      <c r="AL11" t="s">
        <v>328</v>
      </c>
      <c r="AM11" t="s">
        <v>329</v>
      </c>
      <c r="AN11" t="s">
        <v>329</v>
      </c>
      <c r="AO11" t="s">
        <v>329</v>
      </c>
      <c r="AP11">
        <v>2.2999999999999998</v>
      </c>
      <c r="AR11">
        <v>3.1</v>
      </c>
      <c r="AV11">
        <v>10</v>
      </c>
      <c r="AW11">
        <v>10</v>
      </c>
      <c r="AX11">
        <v>10</v>
      </c>
      <c r="AY11">
        <v>0</v>
      </c>
    </row>
    <row r="12" spans="1:51" x14ac:dyDescent="0.3"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Z12">
        <v>0</v>
      </c>
      <c r="AA12">
        <v>0</v>
      </c>
      <c r="AB12">
        <v>0</v>
      </c>
      <c r="AC12">
        <v>0</v>
      </c>
      <c r="AD12">
        <v>1.4</v>
      </c>
      <c r="AE12">
        <v>1.4</v>
      </c>
      <c r="AF12">
        <v>1.4</v>
      </c>
      <c r="AG12">
        <v>1.4</v>
      </c>
      <c r="AH12">
        <v>1.4</v>
      </c>
      <c r="AI12">
        <v>1.4</v>
      </c>
      <c r="AJ12">
        <v>1.4</v>
      </c>
      <c r="AK12">
        <v>1.4</v>
      </c>
      <c r="AL12">
        <v>1.4</v>
      </c>
      <c r="AM12">
        <v>0.2</v>
      </c>
      <c r="AN12">
        <v>0.2</v>
      </c>
      <c r="AO12">
        <v>0.2</v>
      </c>
      <c r="AP12" t="s">
        <v>328</v>
      </c>
      <c r="AQ12" t="s">
        <v>328</v>
      </c>
      <c r="AV12">
        <v>0.4</v>
      </c>
      <c r="AY12" t="s">
        <v>329</v>
      </c>
    </row>
    <row r="13" spans="1:51" x14ac:dyDescent="0.3">
      <c r="C13">
        <v>0</v>
      </c>
      <c r="D13">
        <v>0</v>
      </c>
      <c r="E13">
        <v>0</v>
      </c>
      <c r="F13">
        <v>0.2</v>
      </c>
      <c r="G13">
        <v>0.2</v>
      </c>
      <c r="H13">
        <v>0.2</v>
      </c>
      <c r="I13">
        <v>0.2</v>
      </c>
      <c r="J13">
        <v>0.2</v>
      </c>
      <c r="Z13">
        <v>0</v>
      </c>
      <c r="AA13">
        <v>0</v>
      </c>
      <c r="AB13">
        <v>0</v>
      </c>
      <c r="AC13">
        <v>0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</v>
      </c>
      <c r="AN13">
        <v>0</v>
      </c>
      <c r="AO13">
        <v>0</v>
      </c>
      <c r="AP13">
        <v>1.4</v>
      </c>
      <c r="AQ13">
        <v>1.4</v>
      </c>
      <c r="AY13">
        <v>0.2</v>
      </c>
    </row>
    <row r="14" spans="1:51" x14ac:dyDescent="0.3">
      <c r="C14">
        <v>0</v>
      </c>
      <c r="D14">
        <v>0</v>
      </c>
      <c r="E14">
        <v>0</v>
      </c>
      <c r="F14">
        <v>2.2000000000000002</v>
      </c>
      <c r="G14">
        <v>2.2000000000000002</v>
      </c>
      <c r="H14">
        <v>2.2000000000000002</v>
      </c>
      <c r="I14">
        <v>2.2000000000000002</v>
      </c>
      <c r="J14">
        <v>2.2000000000000002</v>
      </c>
      <c r="Z14">
        <v>0</v>
      </c>
      <c r="AA14">
        <v>0</v>
      </c>
      <c r="AB14">
        <v>0</v>
      </c>
      <c r="AC14">
        <v>0</v>
      </c>
      <c r="AD14">
        <v>3.8</v>
      </c>
      <c r="AE14">
        <v>3.8</v>
      </c>
      <c r="AF14">
        <v>3.8</v>
      </c>
      <c r="AG14">
        <v>3.8</v>
      </c>
      <c r="AH14">
        <v>3.8</v>
      </c>
      <c r="AI14">
        <v>3.8</v>
      </c>
      <c r="AJ14">
        <v>3.8</v>
      </c>
      <c r="AK14">
        <v>3.8</v>
      </c>
      <c r="AL14">
        <v>3.8</v>
      </c>
      <c r="AM14">
        <v>0</v>
      </c>
      <c r="AN14">
        <v>0</v>
      </c>
      <c r="AO14">
        <v>0</v>
      </c>
      <c r="AP14">
        <v>0.2</v>
      </c>
      <c r="AQ14">
        <v>0.2</v>
      </c>
      <c r="AY14">
        <v>0</v>
      </c>
    </row>
    <row r="15" spans="1:51" x14ac:dyDescent="0.3">
      <c r="C15">
        <v>0</v>
      </c>
      <c r="D15">
        <v>0</v>
      </c>
      <c r="E15">
        <v>0</v>
      </c>
      <c r="F15">
        <v>21</v>
      </c>
      <c r="G15">
        <v>21</v>
      </c>
      <c r="H15">
        <v>21</v>
      </c>
      <c r="I15">
        <v>21</v>
      </c>
      <c r="J15">
        <v>21</v>
      </c>
      <c r="Z15">
        <v>0</v>
      </c>
      <c r="AA15">
        <v>0</v>
      </c>
      <c r="AB15">
        <v>0</v>
      </c>
      <c r="AC15">
        <v>0</v>
      </c>
      <c r="AD15">
        <v>0.1</v>
      </c>
      <c r="AE15">
        <v>0.1</v>
      </c>
      <c r="AF15">
        <v>0.1</v>
      </c>
      <c r="AG15">
        <v>0.1</v>
      </c>
      <c r="AH15">
        <v>0.1</v>
      </c>
      <c r="AI15">
        <v>0.1</v>
      </c>
      <c r="AJ15">
        <v>0.1</v>
      </c>
      <c r="AK15">
        <v>0.1</v>
      </c>
      <c r="AL15">
        <v>0.1</v>
      </c>
      <c r="AM15">
        <v>0</v>
      </c>
      <c r="AN15">
        <v>0</v>
      </c>
      <c r="AO15">
        <v>0</v>
      </c>
      <c r="AP15">
        <v>3.8</v>
      </c>
      <c r="AQ15">
        <v>3.8</v>
      </c>
      <c r="AY15">
        <v>0</v>
      </c>
    </row>
    <row r="16" spans="1:51" x14ac:dyDescent="0.3">
      <c r="C16">
        <v>0</v>
      </c>
      <c r="D16">
        <v>0</v>
      </c>
      <c r="E16">
        <v>0</v>
      </c>
      <c r="F16">
        <v>0.7</v>
      </c>
      <c r="G16">
        <v>0.7</v>
      </c>
      <c r="H16">
        <v>0.7</v>
      </c>
      <c r="I16">
        <v>0.7</v>
      </c>
      <c r="J16">
        <v>0.7</v>
      </c>
      <c r="Z16">
        <v>0</v>
      </c>
      <c r="AA16">
        <v>0</v>
      </c>
      <c r="AB16">
        <v>0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0.1</v>
      </c>
      <c r="AQ16">
        <v>0.1</v>
      </c>
      <c r="AY16">
        <v>0</v>
      </c>
    </row>
    <row r="17" spans="1:51" x14ac:dyDescent="0.3"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Z17">
        <v>0</v>
      </c>
      <c r="AA17">
        <v>0</v>
      </c>
      <c r="AB17">
        <v>0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  <c r="AJ17">
        <v>0.1</v>
      </c>
      <c r="AK17">
        <v>0.1</v>
      </c>
      <c r="AL17">
        <v>0.1</v>
      </c>
      <c r="AM17">
        <v>0</v>
      </c>
      <c r="AN17">
        <v>0</v>
      </c>
      <c r="AO17">
        <v>0</v>
      </c>
      <c r="AP17">
        <v>0.2</v>
      </c>
      <c r="AQ17">
        <v>0.2</v>
      </c>
      <c r="AY17">
        <v>0.2</v>
      </c>
    </row>
    <row r="18" spans="1:51" x14ac:dyDescent="0.3">
      <c r="F18" t="s">
        <v>325</v>
      </c>
      <c r="G18" t="s">
        <v>325</v>
      </c>
      <c r="H18" t="s">
        <v>325</v>
      </c>
      <c r="I18" t="s">
        <v>325</v>
      </c>
      <c r="J18" t="s">
        <v>325</v>
      </c>
      <c r="AM18" t="s">
        <v>330</v>
      </c>
      <c r="AN18" t="s">
        <v>330</v>
      </c>
      <c r="AO18" t="s">
        <v>330</v>
      </c>
      <c r="AP18">
        <v>0.1</v>
      </c>
      <c r="AQ18">
        <v>0.1</v>
      </c>
      <c r="AY18">
        <v>0</v>
      </c>
    </row>
    <row r="19" spans="1:51" x14ac:dyDescent="0.3">
      <c r="F19">
        <v>0</v>
      </c>
      <c r="G19">
        <v>0</v>
      </c>
      <c r="H19">
        <v>0</v>
      </c>
      <c r="I19">
        <v>0</v>
      </c>
      <c r="J19">
        <v>0</v>
      </c>
      <c r="AM19">
        <v>1.9</v>
      </c>
      <c r="AN19">
        <v>1.9</v>
      </c>
      <c r="AO19">
        <v>1.9</v>
      </c>
      <c r="AP19">
        <v>10.5</v>
      </c>
      <c r="AY19">
        <v>0</v>
      </c>
    </row>
    <row r="20" spans="1:51" x14ac:dyDescent="0.3">
      <c r="F20">
        <v>0.9</v>
      </c>
      <c r="G20">
        <v>0.9</v>
      </c>
      <c r="H20">
        <v>0.9</v>
      </c>
      <c r="I20">
        <v>0.9</v>
      </c>
      <c r="J20">
        <v>0.9</v>
      </c>
      <c r="AM20">
        <v>0</v>
      </c>
      <c r="AN20">
        <v>0</v>
      </c>
      <c r="AO20">
        <v>0</v>
      </c>
      <c r="AY20" t="s">
        <v>330</v>
      </c>
    </row>
    <row r="21" spans="1:51" x14ac:dyDescent="0.3">
      <c r="F21">
        <v>6.9</v>
      </c>
      <c r="G21">
        <v>6.9</v>
      </c>
      <c r="H21">
        <v>6.9</v>
      </c>
      <c r="I21">
        <v>6.9</v>
      </c>
      <c r="J21">
        <v>6.9</v>
      </c>
      <c r="AM21">
        <v>0</v>
      </c>
      <c r="AN21">
        <v>0</v>
      </c>
      <c r="AO21">
        <v>0</v>
      </c>
      <c r="AY21">
        <v>1.9</v>
      </c>
    </row>
    <row r="22" spans="1:51" x14ac:dyDescent="0.3">
      <c r="F22">
        <v>10.9</v>
      </c>
      <c r="G22">
        <v>10.9</v>
      </c>
      <c r="H22">
        <v>10.9</v>
      </c>
      <c r="I22">
        <v>10.9</v>
      </c>
      <c r="J22">
        <v>10.9</v>
      </c>
      <c r="AM22">
        <v>0</v>
      </c>
      <c r="AN22">
        <v>0</v>
      </c>
      <c r="AO22">
        <v>0</v>
      </c>
      <c r="AY22">
        <v>0</v>
      </c>
    </row>
    <row r="23" spans="1:51" x14ac:dyDescent="0.3">
      <c r="F23">
        <v>0.3</v>
      </c>
      <c r="G23">
        <v>0.3</v>
      </c>
      <c r="H23">
        <v>0.3</v>
      </c>
      <c r="I23">
        <v>0.3</v>
      </c>
      <c r="J23">
        <v>0.3</v>
      </c>
      <c r="AM23">
        <v>0</v>
      </c>
      <c r="AN23">
        <v>0</v>
      </c>
      <c r="AO23">
        <v>0</v>
      </c>
      <c r="AY23">
        <v>0</v>
      </c>
    </row>
    <row r="24" spans="1:51" x14ac:dyDescent="0.3">
      <c r="F24">
        <v>0.2</v>
      </c>
      <c r="G24">
        <v>0.2</v>
      </c>
      <c r="H24">
        <v>0.2</v>
      </c>
      <c r="I24">
        <v>0.2</v>
      </c>
      <c r="J24">
        <v>0.2</v>
      </c>
      <c r="AM24">
        <v>5.5</v>
      </c>
      <c r="AN24">
        <v>5.5</v>
      </c>
      <c r="AO24">
        <v>5.5</v>
      </c>
      <c r="AY24">
        <v>0</v>
      </c>
    </row>
    <row r="25" spans="1:51" x14ac:dyDescent="0.3">
      <c r="A25" t="s">
        <v>319</v>
      </c>
      <c r="B25" t="s">
        <v>663</v>
      </c>
      <c r="C25" t="s">
        <v>332</v>
      </c>
      <c r="D25" t="s">
        <v>333</v>
      </c>
      <c r="AY25">
        <v>0</v>
      </c>
    </row>
    <row r="26" spans="1:51" x14ac:dyDescent="0.3">
      <c r="A26" t="s">
        <v>340</v>
      </c>
      <c r="B26" s="22">
        <v>45349</v>
      </c>
      <c r="C26">
        <v>9.5</v>
      </c>
      <c r="D26">
        <v>31.8</v>
      </c>
      <c r="AY26">
        <v>5.5</v>
      </c>
    </row>
    <row r="27" spans="1:51" x14ac:dyDescent="0.3">
      <c r="A27" t="s">
        <v>340</v>
      </c>
      <c r="B27" s="22">
        <v>45350</v>
      </c>
      <c r="C27">
        <v>2.2000000000000002</v>
      </c>
      <c r="D27">
        <v>32</v>
      </c>
      <c r="AY27">
        <v>0</v>
      </c>
    </row>
    <row r="28" spans="1:51" x14ac:dyDescent="0.3">
      <c r="A28" t="s">
        <v>340</v>
      </c>
      <c r="B28" s="22">
        <v>45351</v>
      </c>
      <c r="C28">
        <v>1</v>
      </c>
      <c r="D28">
        <v>32.700000000000003</v>
      </c>
    </row>
    <row r="29" spans="1:51" x14ac:dyDescent="0.3">
      <c r="A29" t="s">
        <v>340</v>
      </c>
      <c r="B29" s="22">
        <v>45352</v>
      </c>
      <c r="C29">
        <v>0.2</v>
      </c>
      <c r="D29">
        <v>31.1</v>
      </c>
    </row>
    <row r="30" spans="1:51" x14ac:dyDescent="0.3">
      <c r="A30" t="s">
        <v>340</v>
      </c>
      <c r="B30" s="22">
        <v>45353</v>
      </c>
      <c r="C30">
        <v>3.4</v>
      </c>
      <c r="D30">
        <v>31.7</v>
      </c>
    </row>
    <row r="31" spans="1:51" x14ac:dyDescent="0.3">
      <c r="A31" t="s">
        <v>340</v>
      </c>
      <c r="B31" s="22">
        <v>45354</v>
      </c>
      <c r="C31">
        <v>0.4</v>
      </c>
      <c r="D31">
        <v>32.1</v>
      </c>
    </row>
    <row r="32" spans="1:51" x14ac:dyDescent="0.3">
      <c r="A32" t="s">
        <v>335</v>
      </c>
      <c r="B32" s="1">
        <v>45392</v>
      </c>
      <c r="D32">
        <v>32.200000000000003</v>
      </c>
    </row>
    <row r="33" spans="1:4" x14ac:dyDescent="0.3">
      <c r="A33" t="s">
        <v>335</v>
      </c>
      <c r="B33" s="1">
        <v>45393</v>
      </c>
      <c r="D33">
        <v>31.5</v>
      </c>
    </row>
    <row r="34" spans="1:4" x14ac:dyDescent="0.3">
      <c r="A34" t="s">
        <v>335</v>
      </c>
      <c r="B34" s="1">
        <v>45394</v>
      </c>
      <c r="C34">
        <v>0</v>
      </c>
      <c r="D34">
        <v>29.4</v>
      </c>
    </row>
    <row r="35" spans="1:4" x14ac:dyDescent="0.3">
      <c r="A35" t="s">
        <v>335</v>
      </c>
      <c r="B35" s="1">
        <v>45395</v>
      </c>
      <c r="C35">
        <v>0</v>
      </c>
      <c r="D35">
        <v>31</v>
      </c>
    </row>
    <row r="36" spans="1:4" x14ac:dyDescent="0.3">
      <c r="A36" t="s">
        <v>335</v>
      </c>
      <c r="B36" s="1">
        <v>45396</v>
      </c>
      <c r="C36">
        <v>0.4</v>
      </c>
      <c r="D36">
        <v>29.7</v>
      </c>
    </row>
    <row r="37" spans="1:4" x14ac:dyDescent="0.3">
      <c r="A37" t="s">
        <v>335</v>
      </c>
      <c r="B37" s="1">
        <v>45397</v>
      </c>
      <c r="C37">
        <v>0</v>
      </c>
      <c r="D37">
        <v>30.5</v>
      </c>
    </row>
    <row r="38" spans="1:4" x14ac:dyDescent="0.3">
      <c r="A38" t="s">
        <v>335</v>
      </c>
      <c r="B38" s="1">
        <v>45398</v>
      </c>
      <c r="C38">
        <v>0</v>
      </c>
      <c r="D38">
        <v>30.5</v>
      </c>
    </row>
    <row r="39" spans="1:4" x14ac:dyDescent="0.3">
      <c r="A39" t="s">
        <v>335</v>
      </c>
      <c r="B39" s="1">
        <v>45399</v>
      </c>
      <c r="C39">
        <v>0</v>
      </c>
      <c r="D39">
        <v>30.8</v>
      </c>
    </row>
    <row r="40" spans="1:4" x14ac:dyDescent="0.3">
      <c r="A40" t="s">
        <v>336</v>
      </c>
      <c r="B40" s="22">
        <v>45379</v>
      </c>
      <c r="C40">
        <v>0</v>
      </c>
      <c r="D40">
        <v>32.9</v>
      </c>
    </row>
    <row r="41" spans="1:4" x14ac:dyDescent="0.3">
      <c r="A41" t="s">
        <v>336</v>
      </c>
      <c r="B41" s="22">
        <v>45380</v>
      </c>
      <c r="C41">
        <v>0</v>
      </c>
      <c r="D41">
        <v>31.6</v>
      </c>
    </row>
    <row r="42" spans="1:4" x14ac:dyDescent="0.3">
      <c r="A42" t="s">
        <v>336</v>
      </c>
      <c r="B42" s="22">
        <v>45381</v>
      </c>
      <c r="C42">
        <v>2</v>
      </c>
      <c r="D42">
        <v>30.7</v>
      </c>
    </row>
    <row r="43" spans="1:4" x14ac:dyDescent="0.3">
      <c r="A43" t="s">
        <v>336</v>
      </c>
      <c r="B43" s="22">
        <v>45382</v>
      </c>
      <c r="C43">
        <v>24.6</v>
      </c>
      <c r="D43">
        <v>28.9</v>
      </c>
    </row>
    <row r="44" spans="1:4" x14ac:dyDescent="0.3">
      <c r="A44" t="s">
        <v>336</v>
      </c>
      <c r="B44" s="22">
        <v>45383</v>
      </c>
      <c r="C44">
        <v>0.6</v>
      </c>
      <c r="D44">
        <v>32.200000000000003</v>
      </c>
    </row>
    <row r="45" spans="1:4" x14ac:dyDescent="0.3">
      <c r="A45" t="s">
        <v>336</v>
      </c>
      <c r="B45" s="22">
        <v>45384</v>
      </c>
      <c r="C45">
        <v>0</v>
      </c>
      <c r="D45">
        <v>31.3</v>
      </c>
    </row>
    <row r="46" spans="1:4" x14ac:dyDescent="0.3">
      <c r="A46" t="s">
        <v>664</v>
      </c>
      <c r="B46" s="22">
        <v>45379</v>
      </c>
      <c r="C46">
        <v>0</v>
      </c>
      <c r="D46" s="1"/>
    </row>
    <row r="47" spans="1:4" x14ac:dyDescent="0.3">
      <c r="A47" t="s">
        <v>664</v>
      </c>
      <c r="B47" s="22">
        <v>45380</v>
      </c>
      <c r="C47">
        <v>0.2</v>
      </c>
      <c r="D47" s="22"/>
    </row>
    <row r="48" spans="1:4" x14ac:dyDescent="0.3">
      <c r="A48" t="s">
        <v>664</v>
      </c>
      <c r="B48" s="22">
        <v>45381</v>
      </c>
      <c r="C48">
        <v>2.2000000000000002</v>
      </c>
      <c r="D48" s="1"/>
    </row>
    <row r="49" spans="1:4" x14ac:dyDescent="0.3">
      <c r="A49" t="s">
        <v>664</v>
      </c>
      <c r="B49" s="22">
        <v>45382</v>
      </c>
      <c r="C49">
        <v>21</v>
      </c>
      <c r="D49" s="22"/>
    </row>
    <row r="50" spans="1:4" x14ac:dyDescent="0.3">
      <c r="A50" t="s">
        <v>664</v>
      </c>
      <c r="B50" s="22">
        <v>45383</v>
      </c>
      <c r="C50">
        <v>0.7</v>
      </c>
      <c r="D50" s="1"/>
    </row>
    <row r="51" spans="1:4" x14ac:dyDescent="0.3">
      <c r="A51" t="s">
        <v>664</v>
      </c>
      <c r="B51" s="22">
        <v>45384</v>
      </c>
      <c r="C51">
        <v>0</v>
      </c>
      <c r="D51" s="22"/>
    </row>
    <row r="52" spans="1:4" x14ac:dyDescent="0.3">
      <c r="A52" t="s">
        <v>673</v>
      </c>
      <c r="B52" s="22">
        <v>45379</v>
      </c>
      <c r="C52">
        <v>0</v>
      </c>
      <c r="D52" s="1"/>
    </row>
    <row r="53" spans="1:4" x14ac:dyDescent="0.3">
      <c r="A53" t="s">
        <v>673</v>
      </c>
      <c r="B53" s="22">
        <v>45380</v>
      </c>
      <c r="C53">
        <v>0.9</v>
      </c>
      <c r="D53" s="22"/>
    </row>
    <row r="54" spans="1:4" x14ac:dyDescent="0.3">
      <c r="A54" t="s">
        <v>673</v>
      </c>
      <c r="B54" s="22">
        <v>45381</v>
      </c>
      <c r="C54">
        <v>6.9</v>
      </c>
      <c r="D54" s="1"/>
    </row>
    <row r="55" spans="1:4" x14ac:dyDescent="0.3">
      <c r="A55" t="s">
        <v>673</v>
      </c>
      <c r="B55" s="22">
        <v>45382</v>
      </c>
      <c r="C55">
        <v>10.9</v>
      </c>
      <c r="D55" s="22"/>
    </row>
    <row r="56" spans="1:4" x14ac:dyDescent="0.3">
      <c r="A56" t="s">
        <v>673</v>
      </c>
      <c r="B56" s="22">
        <v>45383</v>
      </c>
      <c r="C56">
        <v>0.3</v>
      </c>
      <c r="D56" s="1"/>
    </row>
    <row r="57" spans="1:4" x14ac:dyDescent="0.3">
      <c r="A57" t="s">
        <v>673</v>
      </c>
      <c r="B57" s="22">
        <v>45384</v>
      </c>
      <c r="C57">
        <v>0.2</v>
      </c>
      <c r="D57" s="22"/>
    </row>
    <row r="58" spans="1:4" x14ac:dyDescent="0.3">
      <c r="A58" t="s">
        <v>672</v>
      </c>
      <c r="B58" s="1">
        <v>45392</v>
      </c>
      <c r="C58">
        <v>2</v>
      </c>
      <c r="D58" s="1"/>
    </row>
    <row r="59" spans="1:4" x14ac:dyDescent="0.3">
      <c r="A59" t="s">
        <v>672</v>
      </c>
      <c r="B59" s="1">
        <v>45393</v>
      </c>
      <c r="C59">
        <v>0</v>
      </c>
      <c r="D59" s="22"/>
    </row>
    <row r="60" spans="1:4" x14ac:dyDescent="0.3">
      <c r="A60" t="s">
        <v>672</v>
      </c>
      <c r="B60" s="1">
        <v>45394</v>
      </c>
      <c r="C60">
        <v>0</v>
      </c>
      <c r="D60" s="1"/>
    </row>
    <row r="61" spans="1:4" x14ac:dyDescent="0.3">
      <c r="A61" t="s">
        <v>672</v>
      </c>
      <c r="B61" s="1">
        <v>45395</v>
      </c>
      <c r="C61">
        <v>0</v>
      </c>
      <c r="D61" s="22"/>
    </row>
    <row r="62" spans="1:4" x14ac:dyDescent="0.3">
      <c r="A62" t="s">
        <v>672</v>
      </c>
      <c r="B62" s="1">
        <v>45396</v>
      </c>
      <c r="C62">
        <v>0</v>
      </c>
      <c r="D62" s="1"/>
    </row>
    <row r="63" spans="1:4" x14ac:dyDescent="0.3">
      <c r="A63" t="s">
        <v>672</v>
      </c>
      <c r="B63" s="1">
        <v>45397</v>
      </c>
      <c r="C63">
        <v>0</v>
      </c>
      <c r="D63" s="22"/>
    </row>
    <row r="64" spans="1:4" x14ac:dyDescent="0.3">
      <c r="A64" t="s">
        <v>672</v>
      </c>
      <c r="B64" s="1">
        <v>45398</v>
      </c>
      <c r="C64">
        <v>0</v>
      </c>
      <c r="D64" s="1"/>
    </row>
    <row r="65" spans="1:4" x14ac:dyDescent="0.3">
      <c r="A65" t="s">
        <v>338</v>
      </c>
      <c r="B65" s="1">
        <v>45378</v>
      </c>
      <c r="C65">
        <v>0</v>
      </c>
      <c r="D65">
        <v>32</v>
      </c>
    </row>
    <row r="66" spans="1:4" x14ac:dyDescent="0.3">
      <c r="A66" t="s">
        <v>338</v>
      </c>
      <c r="B66" s="1">
        <v>45379</v>
      </c>
      <c r="C66">
        <v>0</v>
      </c>
      <c r="D66">
        <v>32.4</v>
      </c>
    </row>
    <row r="67" spans="1:4" x14ac:dyDescent="0.3">
      <c r="A67" t="s">
        <v>338</v>
      </c>
      <c r="B67" s="1">
        <v>45380</v>
      </c>
      <c r="C67">
        <v>0</v>
      </c>
      <c r="D67">
        <v>33.299999999999997</v>
      </c>
    </row>
    <row r="68" spans="1:4" x14ac:dyDescent="0.3">
      <c r="A68" t="s">
        <v>338</v>
      </c>
      <c r="B68" s="1">
        <v>45381</v>
      </c>
      <c r="C68">
        <v>0</v>
      </c>
      <c r="D68">
        <v>32.4</v>
      </c>
    </row>
    <row r="69" spans="1:4" x14ac:dyDescent="0.3">
      <c r="A69" t="s">
        <v>338</v>
      </c>
      <c r="B69" s="1">
        <v>45382</v>
      </c>
      <c r="C69">
        <v>2</v>
      </c>
      <c r="D69">
        <v>29.7</v>
      </c>
    </row>
    <row r="70" spans="1:4" x14ac:dyDescent="0.3">
      <c r="A70" t="s">
        <v>338</v>
      </c>
      <c r="B70" s="1">
        <v>45383</v>
      </c>
      <c r="C70">
        <v>0.6</v>
      </c>
      <c r="D70">
        <v>32.799999999999997</v>
      </c>
    </row>
    <row r="71" spans="1:4" x14ac:dyDescent="0.3">
      <c r="A71" t="s">
        <v>338</v>
      </c>
      <c r="B71" s="1">
        <v>45384</v>
      </c>
      <c r="C71">
        <v>0</v>
      </c>
      <c r="D71">
        <v>33</v>
      </c>
    </row>
    <row r="72" spans="1:4" x14ac:dyDescent="0.3">
      <c r="A72" s="4" t="s">
        <v>337</v>
      </c>
      <c r="B72" s="1">
        <v>45414</v>
      </c>
      <c r="C72">
        <v>0</v>
      </c>
      <c r="D72">
        <v>31.2</v>
      </c>
    </row>
    <row r="73" spans="1:4" x14ac:dyDescent="0.3">
      <c r="A73" s="4" t="s">
        <v>337</v>
      </c>
      <c r="B73" s="1">
        <v>45415</v>
      </c>
      <c r="C73">
        <v>0</v>
      </c>
      <c r="D73">
        <v>32.1</v>
      </c>
    </row>
    <row r="74" spans="1:4" x14ac:dyDescent="0.3">
      <c r="A74" s="4" t="s">
        <v>337</v>
      </c>
      <c r="B74" s="1">
        <v>45416</v>
      </c>
      <c r="C74">
        <v>0</v>
      </c>
      <c r="D74">
        <v>31.9</v>
      </c>
    </row>
    <row r="75" spans="1:4" x14ac:dyDescent="0.3">
      <c r="A75" s="4" t="s">
        <v>337</v>
      </c>
      <c r="B75" s="1">
        <v>45417</v>
      </c>
      <c r="C75">
        <v>0</v>
      </c>
      <c r="D75">
        <v>33</v>
      </c>
    </row>
    <row r="76" spans="1:4" x14ac:dyDescent="0.3">
      <c r="A76" s="4" t="s">
        <v>337</v>
      </c>
      <c r="B76" s="1">
        <v>45418</v>
      </c>
      <c r="C76">
        <v>0</v>
      </c>
      <c r="D76">
        <v>33</v>
      </c>
    </row>
    <row r="77" spans="1:4" x14ac:dyDescent="0.3">
      <c r="A77" s="4" t="s">
        <v>337</v>
      </c>
      <c r="B77" s="1">
        <v>45419</v>
      </c>
      <c r="C77">
        <v>0</v>
      </c>
      <c r="D77">
        <v>32.9</v>
      </c>
    </row>
    <row r="78" spans="1:4" x14ac:dyDescent="0.3">
      <c r="A78" s="4" t="s">
        <v>334</v>
      </c>
      <c r="B78" s="22">
        <v>45341</v>
      </c>
      <c r="C78">
        <v>6.5</v>
      </c>
      <c r="D78">
        <v>25.3</v>
      </c>
    </row>
    <row r="79" spans="1:4" x14ac:dyDescent="0.3">
      <c r="A79" t="s">
        <v>334</v>
      </c>
      <c r="B79" s="22">
        <v>45342</v>
      </c>
      <c r="C79">
        <v>0.3</v>
      </c>
      <c r="D79">
        <v>24.3</v>
      </c>
    </row>
    <row r="80" spans="1:4" x14ac:dyDescent="0.3">
      <c r="A80" s="4" t="s">
        <v>334</v>
      </c>
      <c r="B80" s="22">
        <v>45343</v>
      </c>
      <c r="C80">
        <v>0.9</v>
      </c>
      <c r="D80">
        <v>26</v>
      </c>
    </row>
    <row r="81" spans="1:4" x14ac:dyDescent="0.3">
      <c r="A81" t="s">
        <v>334</v>
      </c>
      <c r="B81" s="22">
        <v>45344</v>
      </c>
      <c r="C81">
        <v>0</v>
      </c>
      <c r="D81">
        <v>25.3</v>
      </c>
    </row>
    <row r="82" spans="1:4" x14ac:dyDescent="0.3">
      <c r="A82" s="4" t="s">
        <v>334</v>
      </c>
      <c r="B82" s="22">
        <v>45345</v>
      </c>
      <c r="C82">
        <v>4.5</v>
      </c>
    </row>
    <row r="83" spans="1:4" x14ac:dyDescent="0.3">
      <c r="A83" t="s">
        <v>334</v>
      </c>
      <c r="B83" s="22">
        <v>45346</v>
      </c>
      <c r="C83">
        <v>10.199999999999999</v>
      </c>
      <c r="D83">
        <v>25.4</v>
      </c>
    </row>
    <row r="84" spans="1:4" x14ac:dyDescent="0.3">
      <c r="A84" s="4" t="s">
        <v>334</v>
      </c>
      <c r="B84" s="22">
        <v>45347</v>
      </c>
      <c r="C84">
        <v>1.4</v>
      </c>
      <c r="D84">
        <v>25.6</v>
      </c>
    </row>
    <row r="85" spans="1:4" x14ac:dyDescent="0.3">
      <c r="A85" s="4" t="s">
        <v>671</v>
      </c>
      <c r="B85" s="22">
        <v>45341</v>
      </c>
      <c r="C85">
        <v>1.4</v>
      </c>
      <c r="D85" s="1"/>
    </row>
    <row r="86" spans="1:4" x14ac:dyDescent="0.3">
      <c r="A86" s="4" t="s">
        <v>671</v>
      </c>
      <c r="B86" s="22">
        <v>45342</v>
      </c>
      <c r="C86">
        <v>0.2</v>
      </c>
      <c r="D86" s="22"/>
    </row>
    <row r="87" spans="1:4" x14ac:dyDescent="0.3">
      <c r="A87" s="4" t="s">
        <v>671</v>
      </c>
      <c r="B87" s="22">
        <v>45343</v>
      </c>
      <c r="C87">
        <v>3.8</v>
      </c>
      <c r="D87" s="1"/>
    </row>
    <row r="88" spans="1:4" x14ac:dyDescent="0.3">
      <c r="A88" s="4" t="s">
        <v>671</v>
      </c>
      <c r="B88" s="22">
        <v>45344</v>
      </c>
      <c r="C88">
        <v>0.1</v>
      </c>
      <c r="D88" s="22"/>
    </row>
    <row r="89" spans="1:4" x14ac:dyDescent="0.3">
      <c r="A89" s="4" t="s">
        <v>671</v>
      </c>
      <c r="B89" s="22">
        <v>45345</v>
      </c>
      <c r="C89">
        <v>0.2</v>
      </c>
      <c r="D89" s="1"/>
    </row>
    <row r="90" spans="1:4" x14ac:dyDescent="0.3">
      <c r="A90" s="4" t="s">
        <v>671</v>
      </c>
      <c r="B90" s="22">
        <v>45346</v>
      </c>
      <c r="C90">
        <v>0.1</v>
      </c>
      <c r="D90" s="22"/>
    </row>
    <row r="91" spans="1:4" x14ac:dyDescent="0.3">
      <c r="A91" s="4" t="s">
        <v>671</v>
      </c>
      <c r="B91" s="22">
        <v>45347</v>
      </c>
      <c r="C91">
        <v>10.5</v>
      </c>
      <c r="D91" s="1"/>
    </row>
    <row r="92" spans="1:4" x14ac:dyDescent="0.3">
      <c r="A92" s="4" t="s">
        <v>339</v>
      </c>
      <c r="B92" s="1">
        <v>45337</v>
      </c>
      <c r="C92">
        <v>1.8</v>
      </c>
      <c r="D92">
        <v>32.6</v>
      </c>
    </row>
    <row r="93" spans="1:4" x14ac:dyDescent="0.3">
      <c r="A93" s="4" t="s">
        <v>339</v>
      </c>
      <c r="B93" s="1">
        <v>45338</v>
      </c>
      <c r="C93">
        <v>0</v>
      </c>
      <c r="D93">
        <v>32.799999999999997</v>
      </c>
    </row>
    <row r="94" spans="1:4" x14ac:dyDescent="0.3">
      <c r="A94" s="4" t="s">
        <v>339</v>
      </c>
      <c r="B94" s="1">
        <v>45339</v>
      </c>
      <c r="C94">
        <v>0</v>
      </c>
      <c r="D94">
        <v>33.1</v>
      </c>
    </row>
    <row r="95" spans="1:4" x14ac:dyDescent="0.3">
      <c r="A95" s="4" t="s">
        <v>339</v>
      </c>
      <c r="B95" s="1">
        <v>45340</v>
      </c>
      <c r="C95">
        <v>0</v>
      </c>
      <c r="D95">
        <v>33.4</v>
      </c>
    </row>
    <row r="96" spans="1:4" x14ac:dyDescent="0.3">
      <c r="A96" s="4" t="s">
        <v>339</v>
      </c>
      <c r="B96" s="1">
        <v>45341</v>
      </c>
      <c r="C96">
        <v>6.4</v>
      </c>
      <c r="D96">
        <v>32.299999999999997</v>
      </c>
    </row>
    <row r="97" spans="1:4" x14ac:dyDescent="0.3">
      <c r="A97" s="4" t="s">
        <v>339</v>
      </c>
      <c r="B97" s="1">
        <v>45342</v>
      </c>
      <c r="C97">
        <v>0</v>
      </c>
      <c r="D97">
        <v>31.6</v>
      </c>
    </row>
    <row r="98" spans="1:4" x14ac:dyDescent="0.3">
      <c r="A98" s="4" t="s">
        <v>339</v>
      </c>
      <c r="B98" s="1">
        <v>45343</v>
      </c>
      <c r="C98">
        <v>0</v>
      </c>
      <c r="D98">
        <v>32.4</v>
      </c>
    </row>
    <row r="99" spans="1:4" x14ac:dyDescent="0.3">
      <c r="A99" s="4" t="s">
        <v>668</v>
      </c>
      <c r="B99" s="1">
        <v>45337</v>
      </c>
      <c r="C99">
        <v>0.2</v>
      </c>
      <c r="D99" s="22"/>
    </row>
    <row r="100" spans="1:4" x14ac:dyDescent="0.3">
      <c r="A100" s="4" t="s">
        <v>668</v>
      </c>
      <c r="B100" s="1">
        <v>45338</v>
      </c>
      <c r="C100">
        <v>0</v>
      </c>
      <c r="D100" s="1"/>
    </row>
    <row r="101" spans="1:4" x14ac:dyDescent="0.3">
      <c r="A101" s="4" t="s">
        <v>668</v>
      </c>
      <c r="B101" s="1">
        <v>45339</v>
      </c>
      <c r="C101">
        <v>0</v>
      </c>
      <c r="D101" s="22"/>
    </row>
    <row r="102" spans="1:4" x14ac:dyDescent="0.3">
      <c r="A102" s="4" t="s">
        <v>668</v>
      </c>
      <c r="B102" s="1">
        <v>45340</v>
      </c>
      <c r="C102">
        <v>0</v>
      </c>
      <c r="D102" s="1"/>
    </row>
    <row r="103" spans="1:4" x14ac:dyDescent="0.3">
      <c r="A103" s="4" t="s">
        <v>668</v>
      </c>
      <c r="B103" s="1">
        <v>45341</v>
      </c>
      <c r="C103">
        <v>0.2</v>
      </c>
      <c r="D103" s="22"/>
    </row>
    <row r="104" spans="1:4" x14ac:dyDescent="0.3">
      <c r="A104" s="4" t="s">
        <v>668</v>
      </c>
      <c r="B104" s="1">
        <v>45342</v>
      </c>
      <c r="C104">
        <v>0</v>
      </c>
      <c r="D104" s="1"/>
    </row>
    <row r="105" spans="1:4" x14ac:dyDescent="0.3">
      <c r="A105" s="4" t="s">
        <v>668</v>
      </c>
      <c r="B105" s="1">
        <v>45343</v>
      </c>
      <c r="C105">
        <v>0</v>
      </c>
      <c r="D105" s="1"/>
    </row>
    <row r="106" spans="1:4" x14ac:dyDescent="0.3">
      <c r="A106" s="4" t="s">
        <v>669</v>
      </c>
      <c r="B106" s="1">
        <v>45337</v>
      </c>
      <c r="C106">
        <v>1.9</v>
      </c>
      <c r="D106" s="22"/>
    </row>
    <row r="107" spans="1:4" x14ac:dyDescent="0.3">
      <c r="A107" s="4" t="s">
        <v>669</v>
      </c>
      <c r="B107" s="1">
        <v>45338</v>
      </c>
      <c r="C107">
        <v>0</v>
      </c>
      <c r="D107" s="1"/>
    </row>
    <row r="108" spans="1:4" x14ac:dyDescent="0.3">
      <c r="A108" s="4" t="s">
        <v>669</v>
      </c>
      <c r="B108" s="1">
        <v>45339</v>
      </c>
      <c r="C108">
        <v>0</v>
      </c>
      <c r="D108" s="22"/>
    </row>
    <row r="109" spans="1:4" x14ac:dyDescent="0.3">
      <c r="A109" s="4" t="s">
        <v>669</v>
      </c>
      <c r="B109" s="1">
        <v>45340</v>
      </c>
      <c r="C109">
        <v>0</v>
      </c>
      <c r="D109" s="1"/>
    </row>
    <row r="110" spans="1:4" x14ac:dyDescent="0.3">
      <c r="A110" s="4" t="s">
        <v>669</v>
      </c>
      <c r="B110" s="1">
        <v>45341</v>
      </c>
      <c r="C110">
        <v>0</v>
      </c>
      <c r="D110" s="22"/>
    </row>
    <row r="111" spans="1:4" x14ac:dyDescent="0.3">
      <c r="A111" s="4" t="s">
        <v>669</v>
      </c>
      <c r="B111" s="1">
        <v>45342</v>
      </c>
      <c r="C111">
        <v>5.5</v>
      </c>
      <c r="D111" s="1"/>
    </row>
    <row r="112" spans="1:4" x14ac:dyDescent="0.3">
      <c r="A112" s="4" t="s">
        <v>669</v>
      </c>
      <c r="B112" s="1">
        <v>45343</v>
      </c>
      <c r="C112">
        <v>0</v>
      </c>
      <c r="D112" s="1"/>
    </row>
    <row r="113" spans="1:4" x14ac:dyDescent="0.3">
      <c r="A113" s="4" t="s">
        <v>670</v>
      </c>
      <c r="B113" s="1">
        <v>45392</v>
      </c>
      <c r="C113">
        <v>0.7</v>
      </c>
      <c r="D113" s="22"/>
    </row>
    <row r="114" spans="1:4" x14ac:dyDescent="0.3">
      <c r="A114" t="s">
        <v>670</v>
      </c>
      <c r="B114" s="1">
        <v>45393</v>
      </c>
      <c r="C114">
        <v>3.1</v>
      </c>
      <c r="D114" s="1"/>
    </row>
    <row r="115" spans="1:4" x14ac:dyDescent="0.3">
      <c r="A115" s="4" t="s">
        <v>670</v>
      </c>
      <c r="B115" s="1">
        <v>45394</v>
      </c>
      <c r="C115">
        <v>0</v>
      </c>
      <c r="D115" s="23"/>
    </row>
    <row r="116" spans="1:4" x14ac:dyDescent="0.3">
      <c r="A116" t="s">
        <v>670</v>
      </c>
      <c r="B116" s="1">
        <v>45395</v>
      </c>
      <c r="C116">
        <v>0</v>
      </c>
      <c r="D116" s="1"/>
    </row>
    <row r="117" spans="1:4" x14ac:dyDescent="0.3">
      <c r="A117" s="4" t="s">
        <v>670</v>
      </c>
      <c r="B117" s="1">
        <v>45396</v>
      </c>
      <c r="C117">
        <v>0</v>
      </c>
    </row>
    <row r="118" spans="1:4" x14ac:dyDescent="0.3">
      <c r="A118" t="s">
        <v>670</v>
      </c>
      <c r="B118" s="1">
        <v>45397</v>
      </c>
      <c r="C118">
        <v>2</v>
      </c>
    </row>
    <row r="119" spans="1:4" x14ac:dyDescent="0.3">
      <c r="A119" s="21" t="s">
        <v>670</v>
      </c>
      <c r="B119" s="1">
        <v>45398</v>
      </c>
      <c r="C119">
        <v>10</v>
      </c>
    </row>
    <row r="120" spans="1:4" x14ac:dyDescent="0.3">
      <c r="A120" t="s">
        <v>670</v>
      </c>
      <c r="B120" s="1">
        <v>45399</v>
      </c>
      <c r="C120">
        <v>0.4</v>
      </c>
    </row>
    <row r="121" spans="1:4" x14ac:dyDescent="0.3">
      <c r="A121" s="4" t="s">
        <v>670</v>
      </c>
      <c r="B121" s="22">
        <v>45414</v>
      </c>
      <c r="C121">
        <v>0.1</v>
      </c>
    </row>
    <row r="122" spans="1:4" x14ac:dyDescent="0.3">
      <c r="A122" t="s">
        <v>670</v>
      </c>
      <c r="B122" s="22">
        <v>45415</v>
      </c>
      <c r="C122">
        <v>0</v>
      </c>
    </row>
    <row r="123" spans="1:4" x14ac:dyDescent="0.3">
      <c r="A123" s="4" t="s">
        <v>670</v>
      </c>
      <c r="B123" s="22">
        <v>45416</v>
      </c>
      <c r="C123">
        <v>0.2</v>
      </c>
    </row>
    <row r="124" spans="1:4" x14ac:dyDescent="0.3">
      <c r="A124" t="s">
        <v>670</v>
      </c>
      <c r="B124" s="22">
        <v>45417</v>
      </c>
      <c r="C124">
        <v>0</v>
      </c>
    </row>
    <row r="125" spans="1:4" x14ac:dyDescent="0.3">
      <c r="A125" s="21" t="s">
        <v>670</v>
      </c>
      <c r="B125" s="22">
        <v>45418</v>
      </c>
      <c r="C125">
        <v>0</v>
      </c>
    </row>
    <row r="126" spans="1:4" x14ac:dyDescent="0.3">
      <c r="A126" t="s">
        <v>670</v>
      </c>
      <c r="B126" s="22">
        <v>45419</v>
      </c>
      <c r="C126">
        <v>0</v>
      </c>
    </row>
    <row r="127" spans="1:4" x14ac:dyDescent="0.3">
      <c r="A127" s="4" t="s">
        <v>670</v>
      </c>
      <c r="B127" s="22">
        <v>45420</v>
      </c>
      <c r="C127">
        <v>3.1</v>
      </c>
    </row>
    <row r="128" spans="1:4" x14ac:dyDescent="0.3">
      <c r="A128" t="s">
        <v>346</v>
      </c>
      <c r="B128" s="1">
        <v>45392</v>
      </c>
      <c r="C128">
        <v>32</v>
      </c>
    </row>
    <row r="129" spans="1:101" x14ac:dyDescent="0.3">
      <c r="A129" t="s">
        <v>346</v>
      </c>
      <c r="B129" s="1">
        <v>45393</v>
      </c>
      <c r="C129">
        <v>31.6</v>
      </c>
    </row>
    <row r="130" spans="1:101" x14ac:dyDescent="0.3">
      <c r="A130" t="s">
        <v>346</v>
      </c>
      <c r="B130" s="1">
        <v>45394</v>
      </c>
      <c r="C130">
        <v>32.6</v>
      </c>
      <c r="F130" s="4"/>
      <c r="G130" s="4"/>
      <c r="J130" s="4"/>
      <c r="K130" s="4"/>
      <c r="N130" s="4"/>
      <c r="O130" s="4"/>
      <c r="R130" s="4"/>
      <c r="S130" s="4"/>
      <c r="V130" s="4"/>
      <c r="W130" s="4"/>
      <c r="Z130" s="4"/>
      <c r="AA130" s="4"/>
      <c r="AD130" s="4"/>
      <c r="AE130" s="4"/>
      <c r="AH130" s="4"/>
      <c r="AI130" s="4"/>
      <c r="AL130" s="4"/>
      <c r="AM130" s="4"/>
      <c r="AP130" s="4"/>
      <c r="AQ130" s="4"/>
      <c r="AT130" s="4"/>
      <c r="AU130" s="4"/>
      <c r="AX130" s="4"/>
      <c r="AY130" s="4"/>
      <c r="BB130" s="4"/>
      <c r="BC130" s="4"/>
      <c r="BF130" s="4"/>
      <c r="BG130" s="4"/>
      <c r="BJ130" s="4"/>
      <c r="BK130" s="4"/>
      <c r="BN130" s="4"/>
      <c r="BO130" s="4"/>
      <c r="BR130" s="4"/>
      <c r="BS130" s="4"/>
      <c r="BV130" s="4"/>
      <c r="BW130" s="4"/>
      <c r="BZ130" s="4"/>
      <c r="CA130" s="4"/>
      <c r="CD130" s="4"/>
      <c r="CE130" s="4"/>
      <c r="CH130" s="4"/>
      <c r="CI130" s="4"/>
      <c r="CL130" s="4"/>
      <c r="CM130" s="4"/>
      <c r="CP130" s="4"/>
      <c r="CQ130" s="4"/>
      <c r="CT130" s="21"/>
      <c r="CU130" s="21"/>
      <c r="CV130" s="4"/>
      <c r="CW130" s="4"/>
    </row>
    <row r="131" spans="1:101" x14ac:dyDescent="0.3">
      <c r="A131" t="s">
        <v>346</v>
      </c>
      <c r="B131" s="1">
        <v>45395</v>
      </c>
      <c r="C131">
        <v>32.200000000000003</v>
      </c>
      <c r="D131" s="1"/>
      <c r="E131" s="1"/>
      <c r="F131" s="22"/>
      <c r="G131" s="22"/>
      <c r="H131" s="1"/>
      <c r="I131" s="1"/>
      <c r="J131" s="22"/>
      <c r="K131" s="22"/>
      <c r="L131" s="1"/>
      <c r="M131" s="1"/>
      <c r="N131" s="22"/>
      <c r="O131" s="22"/>
      <c r="P131" s="1"/>
      <c r="Q131" s="1"/>
      <c r="R131" s="22"/>
      <c r="S131" s="22"/>
      <c r="T131" s="1"/>
      <c r="U131" s="1"/>
      <c r="V131" s="22"/>
      <c r="W131" s="22"/>
      <c r="X131" s="1"/>
      <c r="Y131" s="1"/>
      <c r="Z131" s="22"/>
      <c r="AA131" s="22"/>
      <c r="AB131" s="1"/>
      <c r="AC131" s="1"/>
      <c r="AD131" s="22"/>
      <c r="AE131" s="22"/>
      <c r="AF131" s="1"/>
      <c r="AG131" s="1"/>
      <c r="AH131" s="22"/>
      <c r="AI131" s="22"/>
      <c r="AJ131" s="1"/>
      <c r="AK131" s="1"/>
      <c r="AL131" s="22"/>
      <c r="AM131" s="22"/>
      <c r="AN131" s="1"/>
      <c r="AO131" s="1"/>
      <c r="AP131" s="22"/>
      <c r="AQ131" s="22"/>
      <c r="AR131" s="1"/>
      <c r="AS131" s="1"/>
      <c r="AT131" s="22"/>
      <c r="AU131" s="22"/>
      <c r="AV131" s="1"/>
      <c r="AW131" s="1"/>
      <c r="AX131" s="22"/>
      <c r="AY131" s="22"/>
      <c r="AZ131" s="1"/>
      <c r="BA131" s="1"/>
      <c r="BB131" s="22"/>
      <c r="BC131" s="22"/>
      <c r="BD131" s="1"/>
      <c r="BE131" s="1"/>
      <c r="BF131" s="22"/>
      <c r="BG131" s="22"/>
      <c r="BH131" s="1"/>
      <c r="BI131" s="1"/>
      <c r="BJ131" s="22"/>
      <c r="BK131" s="22"/>
      <c r="BL131" s="1"/>
      <c r="BM131" s="1"/>
      <c r="BN131" s="22"/>
      <c r="BO131" s="22"/>
      <c r="BP131" s="1"/>
      <c r="BQ131" s="1"/>
      <c r="BR131" s="22"/>
      <c r="BS131" s="22"/>
      <c r="BT131" s="1"/>
      <c r="BU131" s="1"/>
      <c r="BV131" s="22"/>
      <c r="BW131" s="22"/>
      <c r="BX131" s="1"/>
      <c r="BY131" s="1"/>
      <c r="BZ131" s="22"/>
      <c r="CA131" s="22"/>
      <c r="CB131" s="1"/>
      <c r="CC131" s="1"/>
      <c r="CD131" s="22"/>
      <c r="CE131" s="22"/>
      <c r="CF131" s="1"/>
      <c r="CG131" s="1"/>
      <c r="CH131" s="22"/>
      <c r="CI131" s="22"/>
      <c r="CJ131" s="1"/>
      <c r="CK131" s="1"/>
      <c r="CL131" s="22"/>
      <c r="CM131" s="22"/>
      <c r="CN131" s="1"/>
      <c r="CO131" s="1"/>
      <c r="CP131" s="22"/>
      <c r="CQ131" s="22"/>
      <c r="CR131" s="1"/>
      <c r="CS131" s="1"/>
      <c r="CT131" s="23"/>
      <c r="CU131" s="23"/>
      <c r="CV131" s="1"/>
      <c r="CW131" s="1"/>
    </row>
    <row r="132" spans="1:101" x14ac:dyDescent="0.3">
      <c r="A132" t="s">
        <v>346</v>
      </c>
      <c r="B132" s="1">
        <v>45396</v>
      </c>
      <c r="C132">
        <v>32.299999999999997</v>
      </c>
      <c r="D132" s="1"/>
      <c r="E132" s="1"/>
      <c r="F132" s="22"/>
      <c r="G132" s="22"/>
      <c r="H132" s="1"/>
      <c r="I132" s="1"/>
      <c r="J132" s="22"/>
      <c r="K132" s="22"/>
      <c r="L132" s="1"/>
      <c r="M132" s="1"/>
      <c r="N132" s="22"/>
      <c r="O132" s="22"/>
      <c r="P132" s="1"/>
      <c r="Q132" s="1"/>
      <c r="R132" s="22"/>
      <c r="S132" s="22"/>
      <c r="T132" s="1"/>
      <c r="U132" s="1"/>
      <c r="V132" s="22"/>
      <c r="W132" s="22"/>
      <c r="X132" s="1"/>
      <c r="Y132" s="1"/>
      <c r="Z132" s="22"/>
      <c r="AA132" s="22"/>
      <c r="AB132" s="1"/>
      <c r="AC132" s="1"/>
      <c r="AD132" s="22"/>
      <c r="AE132" s="22"/>
      <c r="AF132" s="1"/>
      <c r="AG132" s="1"/>
      <c r="AH132" s="22"/>
      <c r="AI132" s="22"/>
      <c r="AJ132" s="1"/>
      <c r="AK132" s="1"/>
      <c r="AL132" s="22"/>
      <c r="AM132" s="22"/>
      <c r="AN132" s="1"/>
      <c r="AO132" s="1"/>
      <c r="AP132" s="22"/>
      <c r="AQ132" s="22"/>
      <c r="AR132" s="1"/>
      <c r="AS132" s="1"/>
      <c r="AT132" s="22"/>
      <c r="AU132" s="22"/>
      <c r="AV132" s="1"/>
      <c r="AW132" s="1"/>
      <c r="AX132" s="22"/>
      <c r="AY132" s="22"/>
      <c r="AZ132" s="1"/>
      <c r="BA132" s="1"/>
      <c r="BB132" s="22"/>
      <c r="BC132" s="22"/>
      <c r="BD132" s="1"/>
      <c r="BE132" s="1"/>
      <c r="BF132" s="22"/>
      <c r="BG132" s="22"/>
      <c r="BH132" s="1"/>
      <c r="BI132" s="1"/>
      <c r="BJ132" s="22"/>
      <c r="BK132" s="22"/>
      <c r="BL132" s="1"/>
      <c r="BM132" s="1"/>
      <c r="BN132" s="22"/>
      <c r="BO132" s="22"/>
      <c r="BP132" s="1"/>
      <c r="BQ132" s="1"/>
      <c r="BR132" s="22"/>
      <c r="BS132" s="22"/>
      <c r="BT132" s="1"/>
      <c r="BU132" s="1"/>
      <c r="BV132" s="22"/>
      <c r="BW132" s="22"/>
      <c r="BX132" s="1"/>
      <c r="BY132" s="1"/>
      <c r="BZ132" s="22"/>
      <c r="CA132" s="22"/>
      <c r="CB132" s="1"/>
      <c r="CC132" s="1"/>
      <c r="CD132" s="22"/>
      <c r="CE132" s="22"/>
      <c r="CF132" s="1"/>
      <c r="CG132" s="1"/>
      <c r="CH132" s="22"/>
      <c r="CI132" s="22"/>
      <c r="CJ132" s="1"/>
      <c r="CK132" s="1"/>
      <c r="CL132" s="22"/>
      <c r="CM132" s="22"/>
      <c r="CN132" s="1"/>
      <c r="CO132" s="1"/>
      <c r="CP132" s="22"/>
      <c r="CQ132" s="22"/>
      <c r="CR132" s="1"/>
      <c r="CS132" s="1"/>
      <c r="CT132" s="23"/>
      <c r="CU132" s="23"/>
      <c r="CV132" s="1"/>
      <c r="CW132" s="1"/>
    </row>
    <row r="133" spans="1:101" x14ac:dyDescent="0.3">
      <c r="A133" t="s">
        <v>346</v>
      </c>
      <c r="B133" s="1">
        <v>45397</v>
      </c>
      <c r="C133">
        <v>31</v>
      </c>
    </row>
    <row r="134" spans="1:101" x14ac:dyDescent="0.3">
      <c r="A134" t="s">
        <v>346</v>
      </c>
      <c r="B134" s="1">
        <v>45398</v>
      </c>
      <c r="C134">
        <v>30.1</v>
      </c>
    </row>
    <row r="135" spans="1:101" x14ac:dyDescent="0.3">
      <c r="A135" t="s">
        <v>346</v>
      </c>
      <c r="B135" s="1">
        <v>45399</v>
      </c>
      <c r="C135">
        <v>31.5</v>
      </c>
    </row>
    <row r="136" spans="1:101" x14ac:dyDescent="0.3">
      <c r="A136" t="s">
        <v>346</v>
      </c>
      <c r="B136" s="22">
        <v>45414</v>
      </c>
      <c r="C136">
        <v>31</v>
      </c>
    </row>
    <row r="137" spans="1:101" x14ac:dyDescent="0.3">
      <c r="A137" t="s">
        <v>346</v>
      </c>
      <c r="B137" s="22">
        <v>45415</v>
      </c>
      <c r="C137">
        <v>30.8</v>
      </c>
    </row>
    <row r="138" spans="1:101" x14ac:dyDescent="0.3">
      <c r="A138" t="s">
        <v>346</v>
      </c>
      <c r="B138" s="22">
        <v>45416</v>
      </c>
      <c r="C138">
        <v>32.1</v>
      </c>
    </row>
    <row r="139" spans="1:101" x14ac:dyDescent="0.3">
      <c r="A139" t="s">
        <v>346</v>
      </c>
      <c r="B139" s="22">
        <v>45417</v>
      </c>
      <c r="C139">
        <v>32.6</v>
      </c>
    </row>
    <row r="140" spans="1:101" x14ac:dyDescent="0.3">
      <c r="A140" t="s">
        <v>346</v>
      </c>
      <c r="B140" s="22">
        <v>45418</v>
      </c>
      <c r="C140">
        <v>31.9</v>
      </c>
    </row>
    <row r="141" spans="1:101" x14ac:dyDescent="0.3">
      <c r="A141" t="s">
        <v>346</v>
      </c>
      <c r="B141" s="22">
        <v>45419</v>
      </c>
      <c r="C141">
        <v>31.8</v>
      </c>
    </row>
    <row r="142" spans="1:101" x14ac:dyDescent="0.3">
      <c r="A142" t="s">
        <v>346</v>
      </c>
      <c r="B142" s="22">
        <v>45420</v>
      </c>
      <c r="C142">
        <v>30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014C-1949-4587-8480-647B36E8E4AF}">
  <dimension ref="A1:CW19"/>
  <sheetViews>
    <sheetView topLeftCell="AX1" workbookViewId="0">
      <selection activeCell="M22" sqref="M22"/>
    </sheetView>
  </sheetViews>
  <sheetFormatPr baseColWidth="10" defaultRowHeight="14.4" x14ac:dyDescent="0.3"/>
  <sheetData>
    <row r="1" spans="1:101" x14ac:dyDescent="0.3">
      <c r="A1" t="s">
        <v>14</v>
      </c>
      <c r="B1" s="4" t="s">
        <v>53</v>
      </c>
      <c r="C1" s="4" t="s">
        <v>53</v>
      </c>
      <c r="D1" t="s">
        <v>0</v>
      </c>
      <c r="E1" t="s">
        <v>0</v>
      </c>
      <c r="F1" s="4" t="s">
        <v>68</v>
      </c>
      <c r="G1" s="4" t="s">
        <v>68</v>
      </c>
      <c r="H1" t="s">
        <v>72</v>
      </c>
      <c r="I1" t="s">
        <v>72</v>
      </c>
      <c r="J1" s="4" t="s">
        <v>16</v>
      </c>
      <c r="K1" s="4" t="s">
        <v>16</v>
      </c>
      <c r="L1" t="s">
        <v>76</v>
      </c>
      <c r="M1" t="s">
        <v>76</v>
      </c>
      <c r="N1" s="4" t="s">
        <v>80</v>
      </c>
      <c r="O1" s="4" t="s">
        <v>80</v>
      </c>
      <c r="P1" t="s">
        <v>84</v>
      </c>
      <c r="Q1" t="s">
        <v>84</v>
      </c>
      <c r="R1" s="4" t="s">
        <v>88</v>
      </c>
      <c r="S1" s="4" t="s">
        <v>88</v>
      </c>
      <c r="T1" t="s">
        <v>92</v>
      </c>
      <c r="U1" t="s">
        <v>92</v>
      </c>
      <c r="V1" s="4" t="s">
        <v>20</v>
      </c>
      <c r="W1" s="4" t="s">
        <v>20</v>
      </c>
      <c r="X1" t="s">
        <v>95</v>
      </c>
      <c r="Y1" t="s">
        <v>95</v>
      </c>
      <c r="Z1" s="4" t="s">
        <v>101</v>
      </c>
      <c r="AA1" s="4" t="s">
        <v>101</v>
      </c>
      <c r="AB1" t="s">
        <v>105</v>
      </c>
      <c r="AC1" t="s">
        <v>105</v>
      </c>
      <c r="AD1" s="4" t="s">
        <v>27</v>
      </c>
      <c r="AE1" s="4" t="s">
        <v>27</v>
      </c>
      <c r="AF1" t="s">
        <v>109</v>
      </c>
      <c r="AG1" t="s">
        <v>109</v>
      </c>
      <c r="AH1" s="4" t="s">
        <v>114</v>
      </c>
      <c r="AI1" s="4" t="s">
        <v>114</v>
      </c>
      <c r="AJ1" t="s">
        <v>119</v>
      </c>
      <c r="AK1" t="s">
        <v>119</v>
      </c>
      <c r="AL1" s="4" t="s">
        <v>124</v>
      </c>
      <c r="AM1" s="4" t="s">
        <v>124</v>
      </c>
      <c r="AN1" t="s">
        <v>128</v>
      </c>
      <c r="AO1" t="s">
        <v>128</v>
      </c>
      <c r="AP1" s="4" t="s">
        <v>132</v>
      </c>
      <c r="AQ1" s="4" t="s">
        <v>132</v>
      </c>
      <c r="AR1" t="s">
        <v>138</v>
      </c>
      <c r="AS1" t="s">
        <v>138</v>
      </c>
      <c r="AT1" s="4" t="s">
        <v>141</v>
      </c>
      <c r="AU1" s="4" t="s">
        <v>141</v>
      </c>
      <c r="AV1" t="s">
        <v>146</v>
      </c>
      <c r="AW1" t="s">
        <v>146</v>
      </c>
      <c r="AX1" s="4" t="s">
        <v>150</v>
      </c>
      <c r="AY1" s="4" t="s">
        <v>150</v>
      </c>
      <c r="AZ1" t="s">
        <v>28</v>
      </c>
      <c r="BA1" t="s">
        <v>28</v>
      </c>
      <c r="BB1" s="4" t="s">
        <v>154</v>
      </c>
      <c r="BC1" s="4" t="s">
        <v>154</v>
      </c>
      <c r="BD1" t="s">
        <v>158</v>
      </c>
      <c r="BE1" t="s">
        <v>158</v>
      </c>
      <c r="BF1" s="4" t="s">
        <v>163</v>
      </c>
      <c r="BG1" s="4" t="s">
        <v>163</v>
      </c>
      <c r="BH1" t="s">
        <v>164</v>
      </c>
      <c r="BI1" t="s">
        <v>164</v>
      </c>
      <c r="BJ1" s="4" t="s">
        <v>165</v>
      </c>
      <c r="BK1" s="4" t="s">
        <v>165</v>
      </c>
      <c r="BL1" t="s">
        <v>36</v>
      </c>
      <c r="BM1" t="s">
        <v>36</v>
      </c>
      <c r="BN1" s="4" t="s">
        <v>166</v>
      </c>
      <c r="BO1" s="4" t="s">
        <v>166</v>
      </c>
      <c r="BP1" t="s">
        <v>167</v>
      </c>
      <c r="BQ1" t="s">
        <v>167</v>
      </c>
      <c r="BR1" s="4" t="s">
        <v>171</v>
      </c>
      <c r="BS1" s="4" t="s">
        <v>171</v>
      </c>
      <c r="BT1" t="s">
        <v>186</v>
      </c>
      <c r="BU1" t="s">
        <v>186</v>
      </c>
      <c r="BV1" s="4" t="s">
        <v>187</v>
      </c>
      <c r="BW1" s="4" t="s">
        <v>187</v>
      </c>
      <c r="BX1" t="s">
        <v>195</v>
      </c>
      <c r="BY1" t="s">
        <v>195</v>
      </c>
      <c r="BZ1" s="4" t="s">
        <v>199</v>
      </c>
      <c r="CA1" s="4" t="s">
        <v>199</v>
      </c>
      <c r="CB1" t="s">
        <v>32</v>
      </c>
      <c r="CC1" t="s">
        <v>32</v>
      </c>
      <c r="CD1" s="4" t="s">
        <v>203</v>
      </c>
      <c r="CE1" s="4" t="s">
        <v>203</v>
      </c>
      <c r="CF1" t="s">
        <v>40</v>
      </c>
      <c r="CG1" t="s">
        <v>40</v>
      </c>
      <c r="CH1" s="4" t="s">
        <v>47</v>
      </c>
      <c r="CI1" s="4" t="s">
        <v>47</v>
      </c>
      <c r="CJ1" t="s">
        <v>212</v>
      </c>
      <c r="CK1" t="s">
        <v>212</v>
      </c>
      <c r="CL1" s="4" t="s">
        <v>213</v>
      </c>
      <c r="CM1" s="4" t="s">
        <v>213</v>
      </c>
      <c r="CN1" t="s">
        <v>214</v>
      </c>
      <c r="CO1" t="s">
        <v>214</v>
      </c>
      <c r="CP1" s="4" t="s">
        <v>43</v>
      </c>
      <c r="CQ1" s="4" t="s">
        <v>43</v>
      </c>
      <c r="CR1" t="s">
        <v>215</v>
      </c>
      <c r="CS1" t="s">
        <v>215</v>
      </c>
      <c r="CT1" s="21" t="s">
        <v>216</v>
      </c>
      <c r="CU1" s="21" t="s">
        <v>216</v>
      </c>
      <c r="CV1" s="4" t="s">
        <v>574</v>
      </c>
      <c r="CW1" s="4" t="s">
        <v>574</v>
      </c>
    </row>
    <row r="2" spans="1:101" x14ac:dyDescent="0.3">
      <c r="A2" t="s">
        <v>8</v>
      </c>
      <c r="B2" s="22">
        <v>45349</v>
      </c>
      <c r="C2" s="22">
        <v>45349</v>
      </c>
      <c r="D2" s="1">
        <v>45394</v>
      </c>
      <c r="E2" s="1">
        <v>45394</v>
      </c>
      <c r="F2" s="22">
        <v>45394</v>
      </c>
      <c r="G2" s="22">
        <v>45394</v>
      </c>
      <c r="H2" s="1">
        <v>45394</v>
      </c>
      <c r="I2" s="1">
        <v>45394</v>
      </c>
      <c r="J2" s="22">
        <v>45379</v>
      </c>
      <c r="K2" s="22">
        <v>45379</v>
      </c>
      <c r="L2" s="1">
        <v>45379</v>
      </c>
      <c r="M2" s="1">
        <v>45379</v>
      </c>
      <c r="N2" s="22">
        <v>45379</v>
      </c>
      <c r="O2" s="22">
        <v>45379</v>
      </c>
      <c r="P2" s="1">
        <v>45379</v>
      </c>
      <c r="Q2" s="1">
        <v>45379</v>
      </c>
      <c r="R2" s="22">
        <v>45379</v>
      </c>
      <c r="S2" s="22">
        <v>45379</v>
      </c>
      <c r="T2" s="1">
        <v>45392</v>
      </c>
      <c r="U2" s="1">
        <v>45392</v>
      </c>
      <c r="V2" s="22">
        <v>45392</v>
      </c>
      <c r="W2" s="22">
        <v>45392</v>
      </c>
      <c r="X2" s="1">
        <v>45392</v>
      </c>
      <c r="Y2" s="1">
        <v>45392</v>
      </c>
      <c r="Z2" s="22">
        <v>45392</v>
      </c>
      <c r="AA2" s="22">
        <v>45392</v>
      </c>
      <c r="AB2" s="1">
        <v>45378</v>
      </c>
      <c r="AC2" s="1">
        <v>45378</v>
      </c>
      <c r="AD2" s="22">
        <v>45378</v>
      </c>
      <c r="AE2" s="22">
        <v>45378</v>
      </c>
      <c r="AF2" s="1">
        <v>45378</v>
      </c>
      <c r="AG2" s="1">
        <v>45378</v>
      </c>
      <c r="AH2" s="22">
        <v>45378</v>
      </c>
      <c r="AI2" s="22">
        <v>45378</v>
      </c>
      <c r="AJ2" s="1">
        <v>45378</v>
      </c>
      <c r="AK2" s="1">
        <v>45378</v>
      </c>
      <c r="AL2" s="22">
        <v>45378</v>
      </c>
      <c r="AM2" s="22">
        <v>45378</v>
      </c>
      <c r="AN2" s="1">
        <v>45414</v>
      </c>
      <c r="AO2" s="1">
        <v>45414</v>
      </c>
      <c r="AP2" s="22">
        <v>45378</v>
      </c>
      <c r="AQ2" s="22">
        <v>45378</v>
      </c>
      <c r="AR2" s="1">
        <v>45414</v>
      </c>
      <c r="AS2" s="1">
        <v>45414</v>
      </c>
      <c r="AT2" s="22">
        <v>45378</v>
      </c>
      <c r="AU2" s="22">
        <v>45378</v>
      </c>
      <c r="AV2" s="1">
        <v>45378</v>
      </c>
      <c r="AW2" s="1">
        <v>45378</v>
      </c>
      <c r="AX2" s="22">
        <v>45414</v>
      </c>
      <c r="AY2" s="22">
        <v>45414</v>
      </c>
      <c r="AZ2" s="1">
        <v>45414</v>
      </c>
      <c r="BA2" s="1">
        <v>45414</v>
      </c>
      <c r="BB2" s="22">
        <v>45414</v>
      </c>
      <c r="BC2" s="22">
        <v>45414</v>
      </c>
      <c r="BD2" s="1">
        <v>45414</v>
      </c>
      <c r="BE2" s="1">
        <v>45414</v>
      </c>
      <c r="BF2" s="22">
        <v>45341</v>
      </c>
      <c r="BG2" s="22">
        <v>45341</v>
      </c>
      <c r="BH2" s="1">
        <v>45341</v>
      </c>
      <c r="BI2" s="1">
        <v>45341</v>
      </c>
      <c r="BJ2" s="22">
        <v>45341</v>
      </c>
      <c r="BK2" s="22">
        <v>45341</v>
      </c>
      <c r="BL2" s="1">
        <v>45341</v>
      </c>
      <c r="BM2" s="1">
        <v>45341</v>
      </c>
      <c r="BN2" s="22">
        <v>45341</v>
      </c>
      <c r="BO2" s="22">
        <v>45341</v>
      </c>
      <c r="BP2" s="1">
        <v>45341</v>
      </c>
      <c r="BQ2" s="1">
        <v>45341</v>
      </c>
      <c r="BR2" s="22">
        <v>45341</v>
      </c>
      <c r="BS2" s="22">
        <v>45341</v>
      </c>
      <c r="BT2" s="1">
        <v>45341</v>
      </c>
      <c r="BU2" s="1">
        <v>45341</v>
      </c>
      <c r="BV2" s="22">
        <v>45341</v>
      </c>
      <c r="BW2" s="22">
        <v>45341</v>
      </c>
      <c r="BX2" s="1">
        <v>45337</v>
      </c>
      <c r="BY2" s="1">
        <v>45337</v>
      </c>
      <c r="BZ2" s="22">
        <v>45337</v>
      </c>
      <c r="CA2" s="22">
        <v>45337</v>
      </c>
      <c r="CB2" s="1">
        <v>45337</v>
      </c>
      <c r="CC2" s="1">
        <v>45337</v>
      </c>
      <c r="CD2" s="22">
        <v>45341</v>
      </c>
      <c r="CE2" s="22">
        <v>45341</v>
      </c>
      <c r="CF2" s="1">
        <v>45341</v>
      </c>
      <c r="CG2" s="1">
        <v>45341</v>
      </c>
      <c r="CH2" s="22">
        <v>45414</v>
      </c>
      <c r="CI2" s="22">
        <v>45414</v>
      </c>
      <c r="CJ2" s="1">
        <v>45392</v>
      </c>
      <c r="CK2" s="1">
        <v>45392</v>
      </c>
      <c r="CL2" s="22">
        <v>45392</v>
      </c>
      <c r="CM2" s="22">
        <v>45392</v>
      </c>
      <c r="CN2" s="1">
        <v>45392</v>
      </c>
      <c r="CO2" s="1">
        <v>45392</v>
      </c>
      <c r="CP2" s="22">
        <v>45392</v>
      </c>
      <c r="CQ2" s="22">
        <v>45392</v>
      </c>
      <c r="CR2" s="1">
        <v>45392</v>
      </c>
      <c r="CS2" s="1">
        <v>45392</v>
      </c>
      <c r="CT2" s="23">
        <v>45392</v>
      </c>
      <c r="CU2" s="23">
        <v>45392</v>
      </c>
      <c r="CV2" s="1">
        <v>45337</v>
      </c>
      <c r="CW2" s="1">
        <v>45337</v>
      </c>
    </row>
    <row r="3" spans="1:101" x14ac:dyDescent="0.3">
      <c r="A3" t="s">
        <v>9</v>
      </c>
      <c r="B3" s="22">
        <v>45354</v>
      </c>
      <c r="C3" s="22">
        <v>45354</v>
      </c>
      <c r="D3" s="1">
        <v>45399</v>
      </c>
      <c r="E3" s="1">
        <v>45399</v>
      </c>
      <c r="F3" s="22">
        <v>45399</v>
      </c>
      <c r="G3" s="22">
        <v>45399</v>
      </c>
      <c r="H3" s="1">
        <v>45399</v>
      </c>
      <c r="I3" s="1">
        <v>45399</v>
      </c>
      <c r="J3" s="22">
        <v>45384</v>
      </c>
      <c r="K3" s="22">
        <v>45384</v>
      </c>
      <c r="L3" s="1">
        <v>45384</v>
      </c>
      <c r="M3" s="1">
        <v>45384</v>
      </c>
      <c r="N3" s="22">
        <v>45384</v>
      </c>
      <c r="O3" s="22">
        <v>45384</v>
      </c>
      <c r="P3" s="1">
        <v>45384</v>
      </c>
      <c r="Q3" s="1">
        <v>45384</v>
      </c>
      <c r="R3" s="22">
        <v>45384</v>
      </c>
      <c r="S3" s="22">
        <v>45384</v>
      </c>
      <c r="T3" s="1">
        <v>45397</v>
      </c>
      <c r="U3" s="1">
        <v>45397</v>
      </c>
      <c r="V3" s="22">
        <v>45395</v>
      </c>
      <c r="W3" s="22">
        <v>45395</v>
      </c>
      <c r="X3" s="1">
        <v>45398</v>
      </c>
      <c r="Y3" s="1">
        <v>45398</v>
      </c>
      <c r="Z3" s="22">
        <v>45395</v>
      </c>
      <c r="AA3" s="22">
        <v>45395</v>
      </c>
      <c r="AB3" s="1">
        <v>45383</v>
      </c>
      <c r="AC3" s="1">
        <v>45383</v>
      </c>
      <c r="AD3" s="22">
        <v>45382</v>
      </c>
      <c r="AE3" s="22">
        <v>45382</v>
      </c>
      <c r="AF3" s="1">
        <v>45384</v>
      </c>
      <c r="AG3" s="1">
        <v>45384</v>
      </c>
      <c r="AH3" s="22">
        <v>45383</v>
      </c>
      <c r="AI3" s="22">
        <v>45383</v>
      </c>
      <c r="AJ3" s="1">
        <v>45383</v>
      </c>
      <c r="AK3" s="1">
        <v>45383</v>
      </c>
      <c r="AL3" s="22">
        <v>45381</v>
      </c>
      <c r="AM3" s="22">
        <v>45381</v>
      </c>
      <c r="AN3" s="1">
        <v>45418</v>
      </c>
      <c r="AO3" s="1">
        <v>45418</v>
      </c>
      <c r="AP3" s="22">
        <v>45383</v>
      </c>
      <c r="AQ3" s="22">
        <v>45383</v>
      </c>
      <c r="AR3" s="1">
        <v>45420</v>
      </c>
      <c r="AS3" s="1">
        <v>45420</v>
      </c>
      <c r="AT3" s="22">
        <v>45384</v>
      </c>
      <c r="AU3" s="22">
        <v>45384</v>
      </c>
      <c r="AV3" s="1">
        <v>45383</v>
      </c>
      <c r="AW3" s="1">
        <v>45383</v>
      </c>
      <c r="AX3" s="22">
        <v>45419</v>
      </c>
      <c r="AY3" s="22">
        <v>45419</v>
      </c>
      <c r="AZ3" s="1">
        <v>45419</v>
      </c>
      <c r="BA3" s="1">
        <v>45419</v>
      </c>
      <c r="BB3" s="22">
        <v>45419</v>
      </c>
      <c r="BC3" s="22">
        <v>45419</v>
      </c>
      <c r="BD3" s="1">
        <v>45417</v>
      </c>
      <c r="BE3" s="1">
        <v>45417</v>
      </c>
      <c r="BF3" s="22">
        <v>45346</v>
      </c>
      <c r="BG3" s="22">
        <v>45346</v>
      </c>
      <c r="BH3" s="1">
        <v>45346</v>
      </c>
      <c r="BI3" s="1">
        <v>45346</v>
      </c>
      <c r="BJ3" s="22">
        <v>45346</v>
      </c>
      <c r="BK3" s="22">
        <v>45346</v>
      </c>
      <c r="BL3" s="1">
        <v>45346</v>
      </c>
      <c r="BM3" s="1">
        <v>45346</v>
      </c>
      <c r="BN3" s="22">
        <v>45346</v>
      </c>
      <c r="BO3" s="22">
        <v>45346</v>
      </c>
      <c r="BP3" s="1">
        <v>45346</v>
      </c>
      <c r="BQ3" s="1">
        <v>45346</v>
      </c>
      <c r="BR3" s="22">
        <v>45346</v>
      </c>
      <c r="BS3" s="22">
        <v>45346</v>
      </c>
      <c r="BT3" s="1">
        <v>45347</v>
      </c>
      <c r="BU3" s="1">
        <v>45347</v>
      </c>
      <c r="BV3" s="22">
        <v>45347</v>
      </c>
      <c r="BW3" s="22">
        <v>45347</v>
      </c>
      <c r="BX3" s="1">
        <v>45342</v>
      </c>
      <c r="BY3" s="1">
        <v>45342</v>
      </c>
      <c r="BZ3" s="22">
        <v>45342</v>
      </c>
      <c r="CA3" s="22">
        <v>45342</v>
      </c>
      <c r="CB3" s="1">
        <v>45342</v>
      </c>
      <c r="CC3" s="1">
        <v>45342</v>
      </c>
      <c r="CD3" s="22">
        <v>45347</v>
      </c>
      <c r="CE3" s="22">
        <v>45347</v>
      </c>
      <c r="CF3" s="1">
        <v>45346</v>
      </c>
      <c r="CG3" s="1">
        <v>45346</v>
      </c>
      <c r="CH3" s="22">
        <v>45420</v>
      </c>
      <c r="CI3" s="22">
        <v>45420</v>
      </c>
      <c r="CJ3" s="1">
        <v>45397</v>
      </c>
      <c r="CK3" s="1">
        <v>45397</v>
      </c>
      <c r="CL3" s="22">
        <v>45393</v>
      </c>
      <c r="CM3" s="22">
        <v>45393</v>
      </c>
      <c r="CN3" s="1">
        <v>45396</v>
      </c>
      <c r="CO3" s="1">
        <v>45396</v>
      </c>
      <c r="CP3" s="22">
        <v>45399</v>
      </c>
      <c r="CQ3" s="22">
        <v>45399</v>
      </c>
      <c r="CR3" s="1">
        <v>45398</v>
      </c>
      <c r="CS3" s="1">
        <v>45398</v>
      </c>
      <c r="CT3" s="23">
        <v>45398</v>
      </c>
      <c r="CU3" s="23">
        <v>45398</v>
      </c>
      <c r="CV3" s="1">
        <v>45343</v>
      </c>
      <c r="CW3" s="1">
        <v>45343</v>
      </c>
    </row>
    <row r="4" spans="1:101" x14ac:dyDescent="0.3">
      <c r="A4" t="s">
        <v>319</v>
      </c>
      <c r="B4" t="s">
        <v>320</v>
      </c>
      <c r="C4" t="s">
        <v>320</v>
      </c>
      <c r="D4" t="s">
        <v>321</v>
      </c>
      <c r="E4" t="s">
        <v>321</v>
      </c>
      <c r="F4" t="s">
        <v>321</v>
      </c>
      <c r="G4" t="s">
        <v>321</v>
      </c>
      <c r="H4" t="s">
        <v>321</v>
      </c>
      <c r="I4" t="s">
        <v>321</v>
      </c>
      <c r="J4" t="s">
        <v>323</v>
      </c>
      <c r="K4" t="s">
        <v>323</v>
      </c>
      <c r="L4" t="s">
        <v>323</v>
      </c>
      <c r="M4" t="s">
        <v>323</v>
      </c>
      <c r="N4" t="s">
        <v>323</v>
      </c>
      <c r="O4" t="s">
        <v>323</v>
      </c>
      <c r="P4" t="s">
        <v>323</v>
      </c>
      <c r="Q4" t="s">
        <v>323</v>
      </c>
      <c r="R4" t="s">
        <v>323</v>
      </c>
      <c r="S4" t="s">
        <v>323</v>
      </c>
      <c r="T4" t="s">
        <v>321</v>
      </c>
      <c r="U4" t="s">
        <v>321</v>
      </c>
      <c r="V4" t="s">
        <v>321</v>
      </c>
      <c r="W4" t="s">
        <v>321</v>
      </c>
      <c r="X4" t="s">
        <v>321</v>
      </c>
      <c r="Y4" t="s">
        <v>321</v>
      </c>
      <c r="Z4" t="s">
        <v>321</v>
      </c>
      <c r="AA4" t="s">
        <v>321</v>
      </c>
      <c r="AB4" t="s">
        <v>326</v>
      </c>
      <c r="AC4" t="s">
        <v>326</v>
      </c>
      <c r="AD4" t="s">
        <v>326</v>
      </c>
      <c r="AE4" t="s">
        <v>326</v>
      </c>
      <c r="AF4" t="s">
        <v>326</v>
      </c>
      <c r="AG4" t="s">
        <v>326</v>
      </c>
      <c r="AH4" t="s">
        <v>326</v>
      </c>
      <c r="AI4" t="s">
        <v>326</v>
      </c>
      <c r="AJ4" t="s">
        <v>326</v>
      </c>
      <c r="AK4" t="s">
        <v>326</v>
      </c>
      <c r="AL4" t="s">
        <v>326</v>
      </c>
      <c r="AM4" t="s">
        <v>326</v>
      </c>
      <c r="AN4" t="s">
        <v>326</v>
      </c>
      <c r="AO4" t="s">
        <v>326</v>
      </c>
      <c r="AP4" t="s">
        <v>326</v>
      </c>
      <c r="AQ4" t="s">
        <v>326</v>
      </c>
      <c r="AR4" t="s">
        <v>326</v>
      </c>
      <c r="AS4" t="s">
        <v>326</v>
      </c>
      <c r="AT4" t="s">
        <v>326</v>
      </c>
      <c r="AU4" t="s">
        <v>326</v>
      </c>
      <c r="AV4" t="s">
        <v>326</v>
      </c>
      <c r="AW4" t="s">
        <v>326</v>
      </c>
      <c r="AX4" t="s">
        <v>150</v>
      </c>
      <c r="AY4" t="s">
        <v>150</v>
      </c>
      <c r="AZ4" t="s">
        <v>150</v>
      </c>
      <c r="BA4" t="s">
        <v>150</v>
      </c>
      <c r="BB4" t="s">
        <v>150</v>
      </c>
      <c r="BC4" t="s">
        <v>150</v>
      </c>
      <c r="BD4" t="s">
        <v>150</v>
      </c>
      <c r="BE4" t="s">
        <v>150</v>
      </c>
      <c r="BF4" t="s">
        <v>327</v>
      </c>
      <c r="BG4" t="s">
        <v>327</v>
      </c>
      <c r="BH4" t="s">
        <v>327</v>
      </c>
      <c r="BI4" t="s">
        <v>327</v>
      </c>
      <c r="BJ4" t="s">
        <v>327</v>
      </c>
      <c r="BK4" t="s">
        <v>327</v>
      </c>
      <c r="BL4" t="s">
        <v>327</v>
      </c>
      <c r="BM4" t="s">
        <v>327</v>
      </c>
      <c r="BN4" t="s">
        <v>327</v>
      </c>
      <c r="BO4" t="s">
        <v>327</v>
      </c>
      <c r="BP4" t="s">
        <v>327</v>
      </c>
      <c r="BQ4" t="s">
        <v>327</v>
      </c>
      <c r="BR4" t="s">
        <v>327</v>
      </c>
      <c r="BS4" t="s">
        <v>327</v>
      </c>
      <c r="BT4" t="s">
        <v>327</v>
      </c>
      <c r="BU4" t="s">
        <v>327</v>
      </c>
      <c r="BV4" t="s">
        <v>327</v>
      </c>
      <c r="BW4" t="s">
        <v>327</v>
      </c>
      <c r="BX4" t="s">
        <v>229</v>
      </c>
      <c r="BY4" t="s">
        <v>229</v>
      </c>
      <c r="BZ4" t="s">
        <v>229</v>
      </c>
      <c r="CA4" t="s">
        <v>229</v>
      </c>
      <c r="CB4" t="s">
        <v>229</v>
      </c>
      <c r="CC4" t="s">
        <v>229</v>
      </c>
      <c r="CD4" t="s">
        <v>327</v>
      </c>
      <c r="CE4" t="s">
        <v>327</v>
      </c>
      <c r="CF4" t="s">
        <v>327</v>
      </c>
      <c r="CG4" t="s">
        <v>327</v>
      </c>
      <c r="CH4" t="s">
        <v>507</v>
      </c>
      <c r="CI4" t="s">
        <v>507</v>
      </c>
      <c r="CJ4" t="s">
        <v>507</v>
      </c>
      <c r="CK4" t="s">
        <v>507</v>
      </c>
      <c r="CL4" t="s">
        <v>507</v>
      </c>
      <c r="CM4" t="s">
        <v>507</v>
      </c>
      <c r="CN4" t="s">
        <v>507</v>
      </c>
      <c r="CO4" t="s">
        <v>507</v>
      </c>
      <c r="CP4" t="s">
        <v>507</v>
      </c>
      <c r="CQ4" t="s">
        <v>507</v>
      </c>
      <c r="CR4" t="s">
        <v>507</v>
      </c>
      <c r="CS4" t="s">
        <v>507</v>
      </c>
      <c r="CT4" t="s">
        <v>507</v>
      </c>
      <c r="CU4" t="s">
        <v>507</v>
      </c>
      <c r="CV4" t="s">
        <v>229</v>
      </c>
      <c r="CW4" t="s">
        <v>229</v>
      </c>
    </row>
    <row r="5" spans="1:101" x14ac:dyDescent="0.3">
      <c r="B5">
        <v>24.6</v>
      </c>
      <c r="C5">
        <v>31.8</v>
      </c>
      <c r="D5">
        <v>25.7</v>
      </c>
      <c r="E5">
        <v>29.4</v>
      </c>
      <c r="F5">
        <v>25.7</v>
      </c>
      <c r="G5">
        <v>29.4</v>
      </c>
      <c r="H5">
        <v>25.7</v>
      </c>
      <c r="I5">
        <v>29.4</v>
      </c>
      <c r="J5">
        <v>24</v>
      </c>
      <c r="K5">
        <v>32.9</v>
      </c>
      <c r="L5">
        <v>24</v>
      </c>
      <c r="M5">
        <v>32.9</v>
      </c>
      <c r="N5">
        <v>24</v>
      </c>
      <c r="O5">
        <v>32.9</v>
      </c>
      <c r="P5">
        <v>24</v>
      </c>
      <c r="Q5">
        <v>32.9</v>
      </c>
      <c r="R5">
        <v>24</v>
      </c>
      <c r="S5">
        <v>32.9</v>
      </c>
      <c r="T5">
        <v>25.5</v>
      </c>
      <c r="U5">
        <v>32.200000000000003</v>
      </c>
      <c r="V5">
        <v>25.5</v>
      </c>
      <c r="W5">
        <v>32.200000000000003</v>
      </c>
      <c r="X5">
        <v>25.5</v>
      </c>
      <c r="Y5">
        <v>32.200000000000003</v>
      </c>
      <c r="Z5">
        <v>25.5</v>
      </c>
      <c r="AA5">
        <v>32.200000000000003</v>
      </c>
      <c r="AB5">
        <v>24.4</v>
      </c>
      <c r="AC5">
        <v>32</v>
      </c>
      <c r="AD5">
        <v>24.4</v>
      </c>
      <c r="AE5">
        <v>32</v>
      </c>
      <c r="AF5">
        <v>24.4</v>
      </c>
      <c r="AG5">
        <v>32</v>
      </c>
      <c r="AH5">
        <v>24.4</v>
      </c>
      <c r="AI5">
        <v>32</v>
      </c>
      <c r="AJ5">
        <v>24.4</v>
      </c>
      <c r="AK5">
        <v>32</v>
      </c>
      <c r="AL5">
        <v>24.4</v>
      </c>
      <c r="AM5">
        <v>32</v>
      </c>
      <c r="AN5">
        <v>22.4</v>
      </c>
      <c r="AO5">
        <v>31.2</v>
      </c>
      <c r="AP5">
        <v>24.4</v>
      </c>
      <c r="AQ5">
        <v>32</v>
      </c>
      <c r="AR5">
        <v>22.4</v>
      </c>
      <c r="AS5">
        <v>31.2</v>
      </c>
      <c r="AT5">
        <v>24.4</v>
      </c>
      <c r="AU5">
        <v>32</v>
      </c>
      <c r="AV5">
        <v>24.4</v>
      </c>
      <c r="AW5">
        <v>32</v>
      </c>
      <c r="AX5">
        <v>22.4</v>
      </c>
      <c r="AY5">
        <v>31.2</v>
      </c>
      <c r="AZ5">
        <v>22.4</v>
      </c>
      <c r="BA5">
        <v>31.2</v>
      </c>
      <c r="BB5">
        <v>22.4</v>
      </c>
      <c r="BC5">
        <v>31.2</v>
      </c>
      <c r="BD5">
        <v>22.4</v>
      </c>
      <c r="BE5">
        <v>31.2</v>
      </c>
      <c r="BF5">
        <v>20</v>
      </c>
      <c r="BG5">
        <v>25.3</v>
      </c>
      <c r="BH5">
        <v>20</v>
      </c>
      <c r="BI5">
        <v>25.3</v>
      </c>
      <c r="BJ5">
        <v>20</v>
      </c>
      <c r="BK5">
        <v>25.3</v>
      </c>
      <c r="BL5">
        <v>20</v>
      </c>
      <c r="BM5">
        <v>25.3</v>
      </c>
      <c r="BN5">
        <v>20</v>
      </c>
      <c r="BO5">
        <v>25.3</v>
      </c>
      <c r="BP5">
        <v>20</v>
      </c>
      <c r="BQ5">
        <v>25.3</v>
      </c>
      <c r="BR5">
        <v>20</v>
      </c>
      <c r="BS5">
        <v>25.3</v>
      </c>
      <c r="BT5">
        <v>20</v>
      </c>
      <c r="BU5">
        <v>25.3</v>
      </c>
      <c r="BV5">
        <v>20</v>
      </c>
      <c r="BW5">
        <v>25.3</v>
      </c>
      <c r="BX5">
        <v>22.2</v>
      </c>
      <c r="BY5">
        <v>32.6</v>
      </c>
      <c r="BZ5">
        <v>22.2</v>
      </c>
      <c r="CA5">
        <v>32.6</v>
      </c>
      <c r="CB5">
        <v>22.2</v>
      </c>
      <c r="CC5">
        <v>32.6</v>
      </c>
      <c r="CD5">
        <v>20</v>
      </c>
      <c r="CE5">
        <v>25.3</v>
      </c>
      <c r="CF5">
        <v>20</v>
      </c>
      <c r="CG5">
        <v>25.3</v>
      </c>
      <c r="CH5">
        <v>22.7</v>
      </c>
      <c r="CI5">
        <v>31</v>
      </c>
      <c r="CJ5">
        <v>24.6</v>
      </c>
      <c r="CK5">
        <v>32</v>
      </c>
      <c r="CL5">
        <v>24.6</v>
      </c>
      <c r="CM5">
        <v>32</v>
      </c>
      <c r="CN5">
        <v>24.6</v>
      </c>
      <c r="CO5">
        <v>32</v>
      </c>
      <c r="CP5">
        <v>24.6</v>
      </c>
      <c r="CQ5">
        <v>32</v>
      </c>
      <c r="CR5">
        <v>24.6</v>
      </c>
      <c r="CS5">
        <v>32</v>
      </c>
      <c r="CT5">
        <v>24.6</v>
      </c>
      <c r="CU5">
        <v>32</v>
      </c>
      <c r="CV5">
        <v>22.2</v>
      </c>
      <c r="CW5">
        <v>32.6</v>
      </c>
    </row>
    <row r="6" spans="1:101" x14ac:dyDescent="0.3">
      <c r="B6">
        <v>25.2</v>
      </c>
      <c r="C6">
        <v>32</v>
      </c>
      <c r="D6">
        <v>25.7</v>
      </c>
      <c r="E6">
        <v>31</v>
      </c>
      <c r="F6">
        <v>25.7</v>
      </c>
      <c r="G6">
        <v>31</v>
      </c>
      <c r="H6">
        <v>25.7</v>
      </c>
      <c r="I6">
        <v>31</v>
      </c>
      <c r="J6">
        <v>23.4</v>
      </c>
      <c r="K6">
        <v>31.6</v>
      </c>
      <c r="L6">
        <v>23.4</v>
      </c>
      <c r="M6">
        <v>31.6</v>
      </c>
      <c r="N6">
        <v>23.4</v>
      </c>
      <c r="O6">
        <v>31.6</v>
      </c>
      <c r="P6">
        <v>23.4</v>
      </c>
      <c r="Q6">
        <v>31.6</v>
      </c>
      <c r="R6">
        <v>23.4</v>
      </c>
      <c r="S6">
        <v>31.6</v>
      </c>
      <c r="T6">
        <v>25.4</v>
      </c>
      <c r="U6">
        <v>31.5</v>
      </c>
      <c r="V6">
        <v>25.4</v>
      </c>
      <c r="W6">
        <v>31.5</v>
      </c>
      <c r="X6">
        <v>25.4</v>
      </c>
      <c r="Y6">
        <v>31.5</v>
      </c>
      <c r="Z6">
        <v>25.4</v>
      </c>
      <c r="AA6">
        <v>31.5</v>
      </c>
      <c r="AB6">
        <v>23.1</v>
      </c>
      <c r="AC6">
        <v>32.4</v>
      </c>
      <c r="AD6">
        <v>23.1</v>
      </c>
      <c r="AE6">
        <v>32.4</v>
      </c>
      <c r="AF6">
        <v>23.1</v>
      </c>
      <c r="AG6">
        <v>32.4</v>
      </c>
      <c r="AH6">
        <v>23.1</v>
      </c>
      <c r="AI6">
        <v>32.4</v>
      </c>
      <c r="AJ6">
        <v>23.1</v>
      </c>
      <c r="AK6">
        <v>32.4</v>
      </c>
      <c r="AL6">
        <v>23.1</v>
      </c>
      <c r="AM6">
        <v>32.4</v>
      </c>
      <c r="AN6">
        <v>22.5</v>
      </c>
      <c r="AO6">
        <v>32.1</v>
      </c>
      <c r="AP6">
        <v>23.1</v>
      </c>
      <c r="AQ6">
        <v>32.4</v>
      </c>
      <c r="AR6">
        <v>22.5</v>
      </c>
      <c r="AS6">
        <v>32.1</v>
      </c>
      <c r="AT6">
        <v>23.1</v>
      </c>
      <c r="AU6">
        <v>32.4</v>
      </c>
      <c r="AV6">
        <v>23.1</v>
      </c>
      <c r="AW6">
        <v>32.4</v>
      </c>
      <c r="AX6">
        <v>22.5</v>
      </c>
      <c r="AY6">
        <v>32.1</v>
      </c>
      <c r="AZ6">
        <v>22.5</v>
      </c>
      <c r="BA6">
        <v>32.1</v>
      </c>
      <c r="BB6">
        <v>22.5</v>
      </c>
      <c r="BC6">
        <v>32.1</v>
      </c>
      <c r="BD6">
        <v>22.5</v>
      </c>
      <c r="BE6">
        <v>32.1</v>
      </c>
      <c r="BF6">
        <v>19</v>
      </c>
      <c r="BG6">
        <v>24.3</v>
      </c>
      <c r="BH6">
        <v>19</v>
      </c>
      <c r="BI6">
        <v>24.3</v>
      </c>
      <c r="BJ6">
        <v>19</v>
      </c>
      <c r="BK6">
        <v>24.3</v>
      </c>
      <c r="BL6">
        <v>19</v>
      </c>
      <c r="BM6">
        <v>24.3</v>
      </c>
      <c r="BN6">
        <v>19</v>
      </c>
      <c r="BO6">
        <v>24.3</v>
      </c>
      <c r="BP6">
        <v>19</v>
      </c>
      <c r="BQ6">
        <v>24.3</v>
      </c>
      <c r="BR6">
        <v>19</v>
      </c>
      <c r="BS6">
        <v>24.3</v>
      </c>
      <c r="BT6">
        <v>19</v>
      </c>
      <c r="BU6">
        <v>24.3</v>
      </c>
      <c r="BV6">
        <v>19</v>
      </c>
      <c r="BW6">
        <v>24.3</v>
      </c>
      <c r="BX6">
        <v>24.1</v>
      </c>
      <c r="BY6">
        <v>32.799999999999997</v>
      </c>
      <c r="BZ6">
        <v>24.1</v>
      </c>
      <c r="CA6">
        <v>32.799999999999997</v>
      </c>
      <c r="CB6">
        <v>24.1</v>
      </c>
      <c r="CC6">
        <v>32.799999999999997</v>
      </c>
      <c r="CD6">
        <v>19</v>
      </c>
      <c r="CE6">
        <v>24.3</v>
      </c>
      <c r="CF6">
        <v>19</v>
      </c>
      <c r="CG6">
        <v>24.3</v>
      </c>
      <c r="CH6">
        <v>23.1</v>
      </c>
      <c r="CI6">
        <v>30.8</v>
      </c>
      <c r="CJ6">
        <v>25.1</v>
      </c>
      <c r="CK6">
        <v>31.6</v>
      </c>
      <c r="CL6">
        <v>25.1</v>
      </c>
      <c r="CM6">
        <v>31.6</v>
      </c>
      <c r="CN6">
        <v>25.1</v>
      </c>
      <c r="CO6">
        <v>31.6</v>
      </c>
      <c r="CP6">
        <v>25.1</v>
      </c>
      <c r="CQ6">
        <v>31.6</v>
      </c>
      <c r="CR6">
        <v>25.1</v>
      </c>
      <c r="CS6">
        <v>31.6</v>
      </c>
      <c r="CT6">
        <v>25.1</v>
      </c>
      <c r="CU6">
        <v>31.6</v>
      </c>
      <c r="CV6">
        <v>24.1</v>
      </c>
      <c r="CW6">
        <v>32.799999999999997</v>
      </c>
    </row>
    <row r="7" spans="1:101" x14ac:dyDescent="0.3">
      <c r="B7">
        <v>24.6</v>
      </c>
      <c r="C7">
        <v>32.700000000000003</v>
      </c>
      <c r="D7">
        <v>25.4</v>
      </c>
      <c r="E7">
        <v>29.7</v>
      </c>
      <c r="F7">
        <v>25.4</v>
      </c>
      <c r="G7">
        <v>29.7</v>
      </c>
      <c r="H7">
        <v>25.4</v>
      </c>
      <c r="I7">
        <v>29.7</v>
      </c>
      <c r="J7">
        <v>25.1</v>
      </c>
      <c r="K7">
        <v>30.7</v>
      </c>
      <c r="L7">
        <v>25.1</v>
      </c>
      <c r="M7">
        <v>30.7</v>
      </c>
      <c r="N7">
        <v>25.1</v>
      </c>
      <c r="O7">
        <v>30.7</v>
      </c>
      <c r="P7">
        <v>25.1</v>
      </c>
      <c r="Q7">
        <v>30.7</v>
      </c>
      <c r="R7">
        <v>25.1</v>
      </c>
      <c r="S7">
        <v>30.7</v>
      </c>
      <c r="T7">
        <v>25.7</v>
      </c>
      <c r="U7">
        <v>29.4</v>
      </c>
      <c r="V7">
        <v>25.7</v>
      </c>
      <c r="W7">
        <v>29.4</v>
      </c>
      <c r="X7">
        <v>25.7</v>
      </c>
      <c r="Y7">
        <v>29.4</v>
      </c>
      <c r="Z7">
        <v>25.7</v>
      </c>
      <c r="AA7">
        <v>29.4</v>
      </c>
      <c r="AB7">
        <v>23.7</v>
      </c>
      <c r="AC7">
        <v>33.299999999999997</v>
      </c>
      <c r="AD7">
        <v>23.7</v>
      </c>
      <c r="AE7">
        <v>33.299999999999997</v>
      </c>
      <c r="AF7">
        <v>23.7</v>
      </c>
      <c r="AG7">
        <v>33.299999999999997</v>
      </c>
      <c r="AH7">
        <v>23.7</v>
      </c>
      <c r="AI7">
        <v>33.299999999999997</v>
      </c>
      <c r="AJ7">
        <v>23.7</v>
      </c>
      <c r="AK7">
        <v>33.299999999999997</v>
      </c>
      <c r="AL7">
        <v>23.7</v>
      </c>
      <c r="AM7">
        <v>33.299999999999997</v>
      </c>
      <c r="AN7">
        <v>23.2</v>
      </c>
      <c r="AO7">
        <v>31.9</v>
      </c>
      <c r="AP7">
        <v>23.7</v>
      </c>
      <c r="AQ7">
        <v>33.299999999999997</v>
      </c>
      <c r="AR7">
        <v>23.2</v>
      </c>
      <c r="AS7">
        <v>31.9</v>
      </c>
      <c r="AT7">
        <v>23.7</v>
      </c>
      <c r="AU7">
        <v>33.299999999999997</v>
      </c>
      <c r="AV7">
        <v>23.7</v>
      </c>
      <c r="AW7">
        <v>33.299999999999997</v>
      </c>
      <c r="AX7">
        <v>23.2</v>
      </c>
      <c r="AY7">
        <v>31.9</v>
      </c>
      <c r="AZ7">
        <v>23.2</v>
      </c>
      <c r="BA7">
        <v>31.9</v>
      </c>
      <c r="BB7">
        <v>23.2</v>
      </c>
      <c r="BC7">
        <v>31.9</v>
      </c>
      <c r="BD7">
        <v>23.2</v>
      </c>
      <c r="BE7">
        <v>31.9</v>
      </c>
      <c r="BF7">
        <v>22</v>
      </c>
      <c r="BG7">
        <v>26</v>
      </c>
      <c r="BH7">
        <v>22</v>
      </c>
      <c r="BI7">
        <v>26</v>
      </c>
      <c r="BJ7">
        <v>22</v>
      </c>
      <c r="BK7">
        <v>26</v>
      </c>
      <c r="BL7">
        <v>22</v>
      </c>
      <c r="BM7">
        <v>26</v>
      </c>
      <c r="BN7">
        <v>22</v>
      </c>
      <c r="BO7">
        <v>26</v>
      </c>
      <c r="BP7">
        <v>22</v>
      </c>
      <c r="BQ7">
        <v>26</v>
      </c>
      <c r="BR7">
        <v>22</v>
      </c>
      <c r="BS7">
        <v>26</v>
      </c>
      <c r="BT7">
        <v>22</v>
      </c>
      <c r="BU7">
        <v>26</v>
      </c>
      <c r="BV7">
        <v>22</v>
      </c>
      <c r="BW7">
        <v>26</v>
      </c>
      <c r="BX7">
        <v>24.2</v>
      </c>
      <c r="BY7">
        <v>33.1</v>
      </c>
      <c r="BZ7">
        <v>24.2</v>
      </c>
      <c r="CA7">
        <v>33.1</v>
      </c>
      <c r="CB7">
        <v>24.2</v>
      </c>
      <c r="CC7">
        <v>33.1</v>
      </c>
      <c r="CD7">
        <v>22</v>
      </c>
      <c r="CE7">
        <v>26</v>
      </c>
      <c r="CF7">
        <v>22</v>
      </c>
      <c r="CG7">
        <v>26</v>
      </c>
      <c r="CH7">
        <v>23.7</v>
      </c>
      <c r="CI7">
        <v>32.1</v>
      </c>
      <c r="CJ7">
        <v>24.5</v>
      </c>
      <c r="CK7">
        <v>32.6</v>
      </c>
      <c r="CN7">
        <v>24.5</v>
      </c>
      <c r="CO7">
        <v>32.6</v>
      </c>
      <c r="CP7">
        <v>24.5</v>
      </c>
      <c r="CQ7">
        <v>32.6</v>
      </c>
      <c r="CR7">
        <v>24.5</v>
      </c>
      <c r="CS7">
        <v>32.6</v>
      </c>
      <c r="CT7">
        <v>24.5</v>
      </c>
      <c r="CU7">
        <v>32.6</v>
      </c>
      <c r="CV7">
        <v>24.2</v>
      </c>
      <c r="CW7">
        <v>33.1</v>
      </c>
    </row>
    <row r="8" spans="1:101" x14ac:dyDescent="0.3">
      <c r="B8">
        <v>24.9</v>
      </c>
      <c r="C8">
        <v>31.1</v>
      </c>
      <c r="D8">
        <v>24.6</v>
      </c>
      <c r="E8">
        <v>30.5</v>
      </c>
      <c r="F8">
        <v>24.6</v>
      </c>
      <c r="G8">
        <v>30.5</v>
      </c>
      <c r="H8">
        <v>24.6</v>
      </c>
      <c r="I8">
        <v>30.5</v>
      </c>
      <c r="J8">
        <v>24.8</v>
      </c>
      <c r="K8">
        <v>28.9</v>
      </c>
      <c r="L8">
        <v>24.8</v>
      </c>
      <c r="M8">
        <v>28.9</v>
      </c>
      <c r="N8">
        <v>24.8</v>
      </c>
      <c r="O8">
        <v>28.9</v>
      </c>
      <c r="P8">
        <v>24.8</v>
      </c>
      <c r="Q8">
        <v>28.9</v>
      </c>
      <c r="R8">
        <v>24.8</v>
      </c>
      <c r="S8">
        <v>28.9</v>
      </c>
      <c r="T8">
        <v>25.7</v>
      </c>
      <c r="U8">
        <v>31</v>
      </c>
      <c r="V8">
        <v>25.7</v>
      </c>
      <c r="W8">
        <v>31</v>
      </c>
      <c r="X8">
        <v>25.7</v>
      </c>
      <c r="Y8">
        <v>31</v>
      </c>
      <c r="Z8">
        <v>25.7</v>
      </c>
      <c r="AA8">
        <v>31</v>
      </c>
      <c r="AB8">
        <v>23.8</v>
      </c>
      <c r="AC8">
        <v>32.4</v>
      </c>
      <c r="AD8">
        <v>23.8</v>
      </c>
      <c r="AE8">
        <v>32.4</v>
      </c>
      <c r="AF8">
        <v>23.8</v>
      </c>
      <c r="AG8">
        <v>32.4</v>
      </c>
      <c r="AH8">
        <v>23.8</v>
      </c>
      <c r="AI8">
        <v>32.4</v>
      </c>
      <c r="AJ8">
        <v>23.8</v>
      </c>
      <c r="AK8">
        <v>32.4</v>
      </c>
      <c r="AL8">
        <v>23.8</v>
      </c>
      <c r="AM8">
        <v>32.4</v>
      </c>
      <c r="AN8">
        <v>22.9</v>
      </c>
      <c r="AO8">
        <v>33</v>
      </c>
      <c r="AP8">
        <v>23.8</v>
      </c>
      <c r="AQ8">
        <v>32.4</v>
      </c>
      <c r="AR8">
        <v>22.9</v>
      </c>
      <c r="AS8">
        <v>33</v>
      </c>
      <c r="AT8">
        <v>23.8</v>
      </c>
      <c r="AU8">
        <v>32.4</v>
      </c>
      <c r="AV8">
        <v>23.8</v>
      </c>
      <c r="AW8">
        <v>32.4</v>
      </c>
      <c r="AX8">
        <v>22.9</v>
      </c>
      <c r="AY8">
        <v>33</v>
      </c>
      <c r="AZ8">
        <v>22.9</v>
      </c>
      <c r="BA8">
        <v>33</v>
      </c>
      <c r="BB8">
        <v>22.9</v>
      </c>
      <c r="BC8">
        <v>33</v>
      </c>
      <c r="BD8">
        <v>22.9</v>
      </c>
      <c r="BE8">
        <v>33</v>
      </c>
      <c r="BF8">
        <v>21</v>
      </c>
      <c r="BG8">
        <v>25.3</v>
      </c>
      <c r="BH8">
        <v>21</v>
      </c>
      <c r="BI8">
        <v>25.3</v>
      </c>
      <c r="BJ8">
        <v>21</v>
      </c>
      <c r="BK8">
        <v>25.3</v>
      </c>
      <c r="BL8">
        <v>21</v>
      </c>
      <c r="BM8">
        <v>25.3</v>
      </c>
      <c r="BN8">
        <v>21</v>
      </c>
      <c r="BO8">
        <v>25.3</v>
      </c>
      <c r="BP8">
        <v>21</v>
      </c>
      <c r="BQ8">
        <v>25.3</v>
      </c>
      <c r="BR8">
        <v>21</v>
      </c>
      <c r="BS8">
        <v>25.3</v>
      </c>
      <c r="BT8">
        <v>21</v>
      </c>
      <c r="BU8">
        <v>25.3</v>
      </c>
      <c r="BV8">
        <v>21</v>
      </c>
      <c r="BW8">
        <v>25.3</v>
      </c>
      <c r="BX8">
        <v>24.6</v>
      </c>
      <c r="BY8">
        <v>33.4</v>
      </c>
      <c r="BZ8">
        <v>24.6</v>
      </c>
      <c r="CA8">
        <v>33.4</v>
      </c>
      <c r="CB8">
        <v>24.6</v>
      </c>
      <c r="CC8">
        <v>33.4</v>
      </c>
      <c r="CD8">
        <v>21</v>
      </c>
      <c r="CE8">
        <v>25.3</v>
      </c>
      <c r="CF8">
        <v>21</v>
      </c>
      <c r="CG8">
        <v>25.3</v>
      </c>
      <c r="CH8">
        <v>23.6</v>
      </c>
      <c r="CI8">
        <v>32.6</v>
      </c>
      <c r="CJ8">
        <v>23.8</v>
      </c>
      <c r="CK8">
        <v>32.200000000000003</v>
      </c>
      <c r="CN8">
        <v>23.8</v>
      </c>
      <c r="CO8">
        <v>32.200000000000003</v>
      </c>
      <c r="CP8">
        <v>23.8</v>
      </c>
      <c r="CQ8">
        <v>32.200000000000003</v>
      </c>
      <c r="CR8">
        <v>23.8</v>
      </c>
      <c r="CS8">
        <v>32.200000000000003</v>
      </c>
      <c r="CT8">
        <v>23.8</v>
      </c>
      <c r="CU8">
        <v>32.200000000000003</v>
      </c>
      <c r="CV8">
        <v>24.6</v>
      </c>
      <c r="CW8">
        <v>33.4</v>
      </c>
    </row>
    <row r="9" spans="1:101" x14ac:dyDescent="0.3">
      <c r="B9">
        <v>24</v>
      </c>
      <c r="C9">
        <v>31.7</v>
      </c>
      <c r="D9">
        <v>24.9</v>
      </c>
      <c r="E9">
        <v>30.5</v>
      </c>
      <c r="F9">
        <v>24.9</v>
      </c>
      <c r="G9">
        <v>30.5</v>
      </c>
      <c r="H9">
        <v>24.9</v>
      </c>
      <c r="I9">
        <v>30.5</v>
      </c>
      <c r="J9">
        <v>24.3</v>
      </c>
      <c r="K9">
        <v>32.200000000000003</v>
      </c>
      <c r="L9">
        <v>24.3</v>
      </c>
      <c r="M9">
        <v>32.200000000000003</v>
      </c>
      <c r="N9">
        <v>24.3</v>
      </c>
      <c r="O9">
        <v>32.200000000000003</v>
      </c>
      <c r="P9">
        <v>24.3</v>
      </c>
      <c r="Q9">
        <v>32.200000000000003</v>
      </c>
      <c r="R9">
        <v>24.3</v>
      </c>
      <c r="S9">
        <v>32.200000000000003</v>
      </c>
      <c r="T9">
        <v>25.4</v>
      </c>
      <c r="U9">
        <v>29.7</v>
      </c>
      <c r="X9">
        <v>25.4</v>
      </c>
      <c r="Y9">
        <v>29.7</v>
      </c>
      <c r="AB9">
        <v>24.6</v>
      </c>
      <c r="AC9">
        <v>29.7</v>
      </c>
      <c r="AD9">
        <v>24.6</v>
      </c>
      <c r="AE9">
        <v>29.7</v>
      </c>
      <c r="AF9">
        <v>24.6</v>
      </c>
      <c r="AG9">
        <v>29.7</v>
      </c>
      <c r="AH9">
        <v>24.6</v>
      </c>
      <c r="AI9">
        <v>29.7</v>
      </c>
      <c r="AJ9">
        <v>24.6</v>
      </c>
      <c r="AK9">
        <v>29.7</v>
      </c>
      <c r="AN9">
        <v>23.8</v>
      </c>
      <c r="AO9">
        <v>33</v>
      </c>
      <c r="AP9">
        <v>24.6</v>
      </c>
      <c r="AQ9">
        <v>29.7</v>
      </c>
      <c r="AR9">
        <v>23.8</v>
      </c>
      <c r="AS9">
        <v>33</v>
      </c>
      <c r="AT9">
        <v>24.6</v>
      </c>
      <c r="AU9">
        <v>29.7</v>
      </c>
      <c r="AV9">
        <v>24.6</v>
      </c>
      <c r="AW9">
        <v>29.7</v>
      </c>
      <c r="AX9">
        <v>23.8</v>
      </c>
      <c r="AY9">
        <v>33</v>
      </c>
      <c r="AZ9">
        <v>23.8</v>
      </c>
      <c r="BA9">
        <v>33</v>
      </c>
      <c r="BB9">
        <v>23.8</v>
      </c>
      <c r="BC9">
        <v>33</v>
      </c>
      <c r="BX9">
        <v>24.3</v>
      </c>
      <c r="BY9">
        <v>32.299999999999997</v>
      </c>
      <c r="BZ9">
        <v>24.3</v>
      </c>
      <c r="CA9">
        <v>32.299999999999997</v>
      </c>
      <c r="CB9">
        <v>24.3</v>
      </c>
      <c r="CC9">
        <v>32.299999999999997</v>
      </c>
      <c r="CH9">
        <v>24.1</v>
      </c>
      <c r="CI9">
        <v>31.9</v>
      </c>
      <c r="CJ9">
        <v>23.7</v>
      </c>
      <c r="CK9">
        <v>32.299999999999997</v>
      </c>
      <c r="CN9">
        <v>23.7</v>
      </c>
      <c r="CO9">
        <v>32.299999999999997</v>
      </c>
      <c r="CP9">
        <v>23.7</v>
      </c>
      <c r="CQ9">
        <v>32.299999999999997</v>
      </c>
      <c r="CR9">
        <v>23.7</v>
      </c>
      <c r="CS9">
        <v>32.299999999999997</v>
      </c>
      <c r="CT9">
        <v>23.7</v>
      </c>
      <c r="CU9">
        <v>32.299999999999997</v>
      </c>
      <c r="CV9">
        <v>24.3</v>
      </c>
      <c r="CW9">
        <v>32.299999999999997</v>
      </c>
    </row>
    <row r="10" spans="1:101" x14ac:dyDescent="0.3">
      <c r="B10">
        <v>24.5</v>
      </c>
      <c r="C10">
        <v>32.1</v>
      </c>
      <c r="D10">
        <v>24.8</v>
      </c>
      <c r="E10">
        <v>30.8</v>
      </c>
      <c r="F10">
        <v>24.8</v>
      </c>
      <c r="G10">
        <v>30.8</v>
      </c>
      <c r="H10">
        <v>24.8</v>
      </c>
      <c r="I10">
        <v>30.8</v>
      </c>
      <c r="J10">
        <v>23.9</v>
      </c>
      <c r="K10">
        <v>31.3</v>
      </c>
      <c r="L10">
        <v>23.9</v>
      </c>
      <c r="M10">
        <v>31.3</v>
      </c>
      <c r="N10">
        <v>23.9</v>
      </c>
      <c r="O10">
        <v>31.3</v>
      </c>
      <c r="P10">
        <v>23.9</v>
      </c>
      <c r="Q10">
        <v>31.3</v>
      </c>
      <c r="R10">
        <v>23.9</v>
      </c>
      <c r="S10">
        <v>31.3</v>
      </c>
      <c r="T10">
        <v>24.6</v>
      </c>
      <c r="U10">
        <v>30.5</v>
      </c>
      <c r="X10">
        <v>24.6</v>
      </c>
      <c r="Y10">
        <v>30.5</v>
      </c>
      <c r="AB10">
        <v>24.1</v>
      </c>
      <c r="AC10">
        <v>32.799999999999997</v>
      </c>
      <c r="AF10">
        <v>24.1</v>
      </c>
      <c r="AG10">
        <v>32.799999999999997</v>
      </c>
      <c r="AH10">
        <v>24.1</v>
      </c>
      <c r="AI10">
        <v>32.799999999999997</v>
      </c>
      <c r="AJ10">
        <v>24.1</v>
      </c>
      <c r="AK10">
        <v>32.799999999999997</v>
      </c>
      <c r="AP10">
        <v>24.1</v>
      </c>
      <c r="AQ10">
        <v>32.799999999999997</v>
      </c>
      <c r="AR10">
        <v>23.3</v>
      </c>
      <c r="AS10">
        <v>32.9</v>
      </c>
      <c r="AT10">
        <v>24.1</v>
      </c>
      <c r="AU10">
        <v>32.799999999999997</v>
      </c>
      <c r="AV10">
        <v>24.1</v>
      </c>
      <c r="AW10">
        <v>32.799999999999997</v>
      </c>
      <c r="AX10">
        <v>23.3</v>
      </c>
      <c r="AY10">
        <v>32.9</v>
      </c>
      <c r="AZ10">
        <v>23.3</v>
      </c>
      <c r="BA10">
        <v>32.9</v>
      </c>
      <c r="BB10">
        <v>23.3</v>
      </c>
      <c r="BC10">
        <v>32.9</v>
      </c>
      <c r="BF10">
        <v>20.3</v>
      </c>
      <c r="BG10">
        <v>25.4</v>
      </c>
      <c r="BH10">
        <v>20.3</v>
      </c>
      <c r="BI10">
        <v>25.4</v>
      </c>
      <c r="BJ10">
        <v>20.3</v>
      </c>
      <c r="BK10">
        <v>25.4</v>
      </c>
      <c r="BL10">
        <v>20.3</v>
      </c>
      <c r="BM10">
        <v>25.4</v>
      </c>
      <c r="BN10">
        <v>20.3</v>
      </c>
      <c r="BO10">
        <v>25.4</v>
      </c>
      <c r="BP10">
        <v>20.3</v>
      </c>
      <c r="BQ10">
        <v>25.4</v>
      </c>
      <c r="BR10">
        <v>20.3</v>
      </c>
      <c r="BS10">
        <v>25.4</v>
      </c>
      <c r="BT10">
        <v>20.3</v>
      </c>
      <c r="BU10">
        <v>25.4</v>
      </c>
      <c r="BV10">
        <v>20.3</v>
      </c>
      <c r="BW10">
        <v>25.4</v>
      </c>
      <c r="BX10">
        <v>23.9</v>
      </c>
      <c r="BY10">
        <v>31.6</v>
      </c>
      <c r="BZ10">
        <v>23.9</v>
      </c>
      <c r="CA10">
        <v>31.6</v>
      </c>
      <c r="CB10">
        <v>23.9</v>
      </c>
      <c r="CC10">
        <v>31.6</v>
      </c>
      <c r="CD10">
        <v>20.3</v>
      </c>
      <c r="CE10">
        <v>25.4</v>
      </c>
      <c r="CF10">
        <v>20.3</v>
      </c>
      <c r="CG10">
        <v>25.4</v>
      </c>
      <c r="CH10">
        <v>23.8</v>
      </c>
      <c r="CI10">
        <v>31.8</v>
      </c>
      <c r="CJ10">
        <v>24.9</v>
      </c>
      <c r="CK10">
        <v>31</v>
      </c>
      <c r="CP10">
        <v>24.9</v>
      </c>
      <c r="CQ10">
        <v>31</v>
      </c>
      <c r="CR10">
        <v>24.9</v>
      </c>
      <c r="CS10">
        <v>31</v>
      </c>
      <c r="CT10">
        <v>24.9</v>
      </c>
      <c r="CU10">
        <v>31</v>
      </c>
      <c r="CV10">
        <v>23.9</v>
      </c>
      <c r="CW10">
        <v>31.6</v>
      </c>
    </row>
    <row r="11" spans="1:101" x14ac:dyDescent="0.3">
      <c r="T11" t="s">
        <v>507</v>
      </c>
      <c r="U11" t="s">
        <v>507</v>
      </c>
      <c r="V11" t="s">
        <v>507</v>
      </c>
      <c r="W11" t="s">
        <v>507</v>
      </c>
      <c r="X11">
        <v>24.9</v>
      </c>
      <c r="Y11">
        <v>30.5</v>
      </c>
      <c r="Z11" t="s">
        <v>507</v>
      </c>
      <c r="AA11" t="s">
        <v>507</v>
      </c>
      <c r="AF11">
        <v>23.9</v>
      </c>
      <c r="AG11">
        <v>33</v>
      </c>
      <c r="AR11">
        <v>23.1</v>
      </c>
      <c r="AS11">
        <v>30.9</v>
      </c>
      <c r="AT11">
        <v>23.9</v>
      </c>
      <c r="AU11">
        <v>33</v>
      </c>
      <c r="BT11">
        <v>21.3</v>
      </c>
      <c r="BU11">
        <v>25.6</v>
      </c>
      <c r="BV11">
        <v>21.3</v>
      </c>
      <c r="BW11">
        <v>25.6</v>
      </c>
      <c r="CD11">
        <v>21.3</v>
      </c>
      <c r="CE11">
        <v>25.6</v>
      </c>
      <c r="CH11">
        <v>23.2</v>
      </c>
      <c r="CI11">
        <v>30</v>
      </c>
      <c r="CP11">
        <v>24.4</v>
      </c>
      <c r="CQ11">
        <v>30.1</v>
      </c>
      <c r="CR11">
        <v>24.4</v>
      </c>
      <c r="CS11">
        <v>30.1</v>
      </c>
      <c r="CT11">
        <v>24.4</v>
      </c>
      <c r="CU11">
        <v>30.1</v>
      </c>
      <c r="CV11">
        <v>23.1</v>
      </c>
      <c r="CW11">
        <v>32.4</v>
      </c>
    </row>
    <row r="12" spans="1:101" x14ac:dyDescent="0.3">
      <c r="T12">
        <v>24.6</v>
      </c>
      <c r="U12">
        <v>32</v>
      </c>
      <c r="V12">
        <v>24.6</v>
      </c>
      <c r="W12">
        <v>32</v>
      </c>
      <c r="X12" t="s">
        <v>507</v>
      </c>
      <c r="Z12">
        <v>24.6</v>
      </c>
      <c r="AA12">
        <v>32</v>
      </c>
      <c r="CP12">
        <v>24.6</v>
      </c>
      <c r="CQ12">
        <v>31.5</v>
      </c>
    </row>
    <row r="13" spans="1:101" x14ac:dyDescent="0.3">
      <c r="T13">
        <v>25.1</v>
      </c>
      <c r="U13">
        <v>31.6</v>
      </c>
      <c r="V13">
        <v>25.1</v>
      </c>
      <c r="W13">
        <v>31.6</v>
      </c>
      <c r="X13">
        <v>24.6</v>
      </c>
      <c r="Y13">
        <v>32</v>
      </c>
      <c r="Z13">
        <v>25.1</v>
      </c>
      <c r="AA13">
        <v>31.6</v>
      </c>
    </row>
    <row r="14" spans="1:101" x14ac:dyDescent="0.3">
      <c r="T14">
        <v>24.5</v>
      </c>
      <c r="U14">
        <v>32.6</v>
      </c>
      <c r="V14">
        <v>24.5</v>
      </c>
      <c r="W14">
        <v>32.6</v>
      </c>
      <c r="X14">
        <v>25.1</v>
      </c>
      <c r="Y14">
        <v>31.6</v>
      </c>
      <c r="Z14">
        <v>24.5</v>
      </c>
      <c r="AA14">
        <v>32.6</v>
      </c>
    </row>
    <row r="15" spans="1:101" x14ac:dyDescent="0.3">
      <c r="T15">
        <v>23.8</v>
      </c>
      <c r="U15">
        <v>32.200000000000003</v>
      </c>
      <c r="V15">
        <v>23.8</v>
      </c>
      <c r="W15">
        <v>32.200000000000003</v>
      </c>
      <c r="X15">
        <v>24.5</v>
      </c>
      <c r="Y15">
        <v>32.6</v>
      </c>
      <c r="Z15">
        <v>23.8</v>
      </c>
      <c r="AA15">
        <v>32.200000000000003</v>
      </c>
    </row>
    <row r="16" spans="1:101" x14ac:dyDescent="0.3">
      <c r="T16">
        <v>23.7</v>
      </c>
      <c r="U16">
        <v>32.299999999999997</v>
      </c>
      <c r="X16">
        <v>23.8</v>
      </c>
      <c r="Y16">
        <v>32.200000000000003</v>
      </c>
    </row>
    <row r="17" spans="20:25" x14ac:dyDescent="0.3">
      <c r="T17">
        <v>24.9</v>
      </c>
      <c r="U17">
        <v>31</v>
      </c>
      <c r="X17">
        <v>23.7</v>
      </c>
      <c r="Y17">
        <v>32.299999999999997</v>
      </c>
    </row>
    <row r="18" spans="20:25" x14ac:dyDescent="0.3">
      <c r="X18">
        <v>24.9</v>
      </c>
      <c r="Y18">
        <v>31</v>
      </c>
    </row>
    <row r="19" spans="20:25" x14ac:dyDescent="0.3">
      <c r="X19">
        <v>24.4</v>
      </c>
      <c r="Y19">
        <v>30.1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Description_Champ_Feuil1</vt:lpstr>
      <vt:lpstr>PO</vt:lpstr>
      <vt:lpstr>Feuil2</vt:lpstr>
      <vt:lpstr>Soleil</vt:lpstr>
      <vt:lpstr>Précipitation</vt:lpstr>
      <vt:lpstr>Température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Romiguiere</dc:creator>
  <cp:lastModifiedBy>Felix Romiguiere</cp:lastModifiedBy>
  <cp:lastPrinted>2026-01-29T21:20:27Z</cp:lastPrinted>
  <dcterms:created xsi:type="dcterms:W3CDTF">2015-06-05T18:19:34Z</dcterms:created>
  <dcterms:modified xsi:type="dcterms:W3CDTF">2026-03-30T07:30:29Z</dcterms:modified>
</cp:coreProperties>
</file>